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U\Projects\LOAD-CONFIGURATOR\"/>
    </mc:Choice>
  </mc:AlternateContent>
  <xr:revisionPtr revIDLastSave="0" documentId="13_ncr:1_{46023883-0A07-455D-8602-FF24D10EABD4}" xr6:coauthVersionLast="47" xr6:coauthVersionMax="47" xr10:uidLastSave="{00000000-0000-0000-0000-000000000000}"/>
  <bookViews>
    <workbookView xWindow="-108" yWindow="-108" windowWidth="23256" windowHeight="12456" firstSheet="1" activeTab="1" xr2:uid="{CEA1B9B6-592B-405C-A9E3-A889880230F2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2" i="1" l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3" i="1"/>
  <c r="N4" i="1"/>
  <c r="I53" i="1"/>
  <c r="M53" i="1"/>
  <c r="L53" i="1"/>
  <c r="K53" i="1"/>
  <c r="J53" i="1"/>
  <c r="S3" i="2"/>
  <c r="S42" i="2"/>
  <c r="S44" i="2"/>
  <c r="S52" i="2"/>
  <c r="S35" i="2"/>
  <c r="S34" i="2"/>
  <c r="S24" i="2"/>
  <c r="S23" i="2"/>
  <c r="S14" i="2"/>
  <c r="S12" i="2"/>
  <c r="S5" i="2"/>
  <c r="N53" i="1" l="1"/>
</calcChain>
</file>

<file path=xl/sharedStrings.xml><?xml version="1.0" encoding="utf-8"?>
<sst xmlns="http://schemas.openxmlformats.org/spreadsheetml/2006/main" count="579" uniqueCount="92">
  <si>
    <t>Dimentions</t>
  </si>
  <si>
    <t>BA Order</t>
  </si>
  <si>
    <t>Customer</t>
  </si>
  <si>
    <t>Incoterms</t>
  </si>
  <si>
    <t>Model</t>
  </si>
  <si>
    <t>L</t>
  </si>
  <si>
    <t>W</t>
  </si>
  <si>
    <t>H</t>
  </si>
  <si>
    <t>T</t>
  </si>
  <si>
    <t>FOB</t>
  </si>
  <si>
    <t>OCEAN</t>
  </si>
  <si>
    <t>ROAD</t>
  </si>
  <si>
    <t>CTP</t>
  </si>
  <si>
    <t>BA3073</t>
  </si>
  <si>
    <t>Congo Equipment</t>
  </si>
  <si>
    <t>CPT LUBUMBASHI</t>
  </si>
  <si>
    <t>DE88GC</t>
  </si>
  <si>
    <t>BA3074</t>
  </si>
  <si>
    <t>BA3075</t>
  </si>
  <si>
    <t>BA3076</t>
  </si>
  <si>
    <t>BA3077</t>
  </si>
  <si>
    <t>DE110E2</t>
  </si>
  <si>
    <t>BA3078</t>
  </si>
  <si>
    <t>BA3079</t>
  </si>
  <si>
    <t>DE110GC</t>
  </si>
  <si>
    <t>BA3080</t>
  </si>
  <si>
    <t>BA3081</t>
  </si>
  <si>
    <t>BA3082</t>
  </si>
  <si>
    <t>BA3083</t>
  </si>
  <si>
    <t>DE150GC</t>
  </si>
  <si>
    <t>BA3102</t>
  </si>
  <si>
    <t>BA3103</t>
  </si>
  <si>
    <t>BA3112</t>
  </si>
  <si>
    <t>DE400GC</t>
  </si>
  <si>
    <t>BA3113</t>
  </si>
  <si>
    <t>BA3104</t>
  </si>
  <si>
    <t>DE220GC</t>
  </si>
  <si>
    <t>BA3105</t>
  </si>
  <si>
    <t>BA3106</t>
  </si>
  <si>
    <t>BA3107</t>
  </si>
  <si>
    <t>BA3110</t>
  </si>
  <si>
    <t>DE250E0</t>
  </si>
  <si>
    <t>BA3119</t>
  </si>
  <si>
    <t>DE500GC</t>
  </si>
  <si>
    <t>BA3120</t>
  </si>
  <si>
    <t>BA3069</t>
  </si>
  <si>
    <t>DE65GC</t>
  </si>
  <si>
    <t>BA3070</t>
  </si>
  <si>
    <t>BA3071</t>
  </si>
  <si>
    <t>BA3072</t>
  </si>
  <si>
    <t>BA3122</t>
  </si>
  <si>
    <t>DE850E0</t>
  </si>
  <si>
    <t>BA3123</t>
  </si>
  <si>
    <t>BA3121</t>
  </si>
  <si>
    <t>DE660E0</t>
  </si>
  <si>
    <t>BA3053</t>
  </si>
  <si>
    <t>DE33GC</t>
  </si>
  <si>
    <t>BA3054</t>
  </si>
  <si>
    <t>BA3055</t>
  </si>
  <si>
    <t>BA3056</t>
  </si>
  <si>
    <t>BA3057</t>
  </si>
  <si>
    <t>BA3114</t>
  </si>
  <si>
    <t>DE450E0</t>
  </si>
  <si>
    <t>BA3058</t>
  </si>
  <si>
    <t>BA3059</t>
  </si>
  <si>
    <t>DE16E0</t>
  </si>
  <si>
    <t>BA3060</t>
  </si>
  <si>
    <t>BA3061</t>
  </si>
  <si>
    <t>DE50GC</t>
  </si>
  <si>
    <t>BA3062</t>
  </si>
  <si>
    <t>BA3063</t>
  </si>
  <si>
    <t>BA3108</t>
  </si>
  <si>
    <t>BA3111</t>
  </si>
  <si>
    <t>DE330E0</t>
  </si>
  <si>
    <t>BA3115</t>
  </si>
  <si>
    <t>BA3116</t>
  </si>
  <si>
    <t>BA3064</t>
  </si>
  <si>
    <t>BA3065</t>
  </si>
  <si>
    <t>BA3066</t>
  </si>
  <si>
    <t>BA3067</t>
  </si>
  <si>
    <t>BA3068</t>
  </si>
  <si>
    <t>SUPER-LINK 1</t>
  </si>
  <si>
    <t>FRONT 6m TRAILER</t>
  </si>
  <si>
    <t>REAR 12m TRAILER</t>
  </si>
  <si>
    <t>SUPER-LINK 2</t>
  </si>
  <si>
    <t>TON</t>
  </si>
  <si>
    <t>SUPER-LINK 3</t>
  </si>
  <si>
    <t>SUPER-LINK 4</t>
  </si>
  <si>
    <t>SUPER-LINK 5</t>
  </si>
  <si>
    <t>TRI-AXLE 1</t>
  </si>
  <si>
    <t>Tri-axle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</si>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</sst>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$-1009]#,##0.00"/>
  </numFmts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name val="Aptos Narrow"/>
      <family val="2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i/>
      <sz val="11"/>
      <color rgb="FFFF0000"/>
      <name val="Aptos Narrow"/>
      <family val="2"/>
    </font>
    <font>
      <b/>
      <sz val="11"/>
      <color rgb="FFFF0000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0" fillId="2" borderId="0" xfId="0" applyFill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4" borderId="7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2" fontId="0" fillId="3" borderId="8" xfId="0" applyNumberForma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2" fontId="0" fillId="2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2" fontId="0" fillId="3" borderId="5" xfId="0" applyNumberFormat="1" applyFill="1" applyBorder="1" applyAlignment="1">
      <alignment horizontal="center" vertical="center"/>
    </xf>
    <xf numFmtId="164" fontId="0" fillId="3" borderId="18" xfId="0" applyNumberFormat="1" applyFill="1" applyBorder="1" applyAlignment="1">
      <alignment horizontal="center" vertical="center"/>
    </xf>
    <xf numFmtId="164" fontId="0" fillId="3" borderId="6" xfId="0" applyNumberFormat="1" applyFill="1" applyBorder="1" applyAlignment="1">
      <alignment horizontal="center" vertical="center"/>
    </xf>
    <xf numFmtId="0" fontId="3" fillId="3" borderId="10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2" fontId="0" fillId="3" borderId="11" xfId="0" applyNumberFormat="1" applyFill="1" applyBorder="1" applyAlignment="1">
      <alignment horizontal="center" vertical="center"/>
    </xf>
    <xf numFmtId="164" fontId="0" fillId="3" borderId="19" xfId="0" applyNumberFormat="1" applyFill="1" applyBorder="1" applyAlignment="1">
      <alignment horizontal="center" vertical="center"/>
    </xf>
    <xf numFmtId="0" fontId="4" fillId="3" borderId="10" xfId="0" applyFont="1" applyFill="1" applyBorder="1" applyAlignment="1">
      <alignment vertical="center"/>
    </xf>
    <xf numFmtId="164" fontId="0" fillId="3" borderId="12" xfId="0" applyNumberFormat="1" applyFill="1" applyBorder="1" applyAlignment="1">
      <alignment horizontal="center" vertical="center"/>
    </xf>
    <xf numFmtId="0" fontId="3" fillId="3" borderId="20" xfId="0" applyFont="1" applyFill="1" applyBorder="1" applyAlignment="1">
      <alignment vertical="center"/>
    </xf>
    <xf numFmtId="0" fontId="3" fillId="3" borderId="21" xfId="0" applyFont="1" applyFill="1" applyBorder="1" applyAlignment="1">
      <alignment vertical="center"/>
    </xf>
    <xf numFmtId="2" fontId="0" fillId="3" borderId="21" xfId="0" applyNumberFormat="1" applyFill="1" applyBorder="1" applyAlignment="1">
      <alignment horizontal="center" vertical="center"/>
    </xf>
    <xf numFmtId="164" fontId="0" fillId="3" borderId="22" xfId="0" applyNumberFormat="1" applyFill="1" applyBorder="1" applyAlignment="1">
      <alignment horizontal="center" vertical="center"/>
    </xf>
    <xf numFmtId="164" fontId="0" fillId="3" borderId="23" xfId="0" applyNumberFormat="1" applyFill="1" applyBorder="1" applyAlignment="1">
      <alignment horizontal="center" vertical="center"/>
    </xf>
    <xf numFmtId="0" fontId="3" fillId="3" borderId="7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164" fontId="0" fillId="3" borderId="17" xfId="0" applyNumberFormat="1" applyFill="1" applyBorder="1" applyAlignment="1">
      <alignment horizontal="center" vertical="center"/>
    </xf>
    <xf numFmtId="164" fontId="0" fillId="3" borderId="9" xfId="0" applyNumberFormat="1" applyFill="1" applyBorder="1" applyAlignment="1">
      <alignment horizontal="center" vertical="center"/>
    </xf>
    <xf numFmtId="0" fontId="5" fillId="4" borderId="0" xfId="0" applyFont="1" applyFill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2" fontId="0" fillId="4" borderId="5" xfId="0" applyNumberFormat="1" applyFill="1" applyBorder="1" applyAlignment="1">
      <alignment horizontal="center" vertical="center"/>
    </xf>
    <xf numFmtId="164" fontId="0" fillId="4" borderId="6" xfId="0" applyNumberFormat="1" applyFill="1" applyBorder="1" applyAlignment="1">
      <alignment horizontal="center" vertical="center"/>
    </xf>
    <xf numFmtId="0" fontId="3" fillId="4" borderId="10" xfId="0" applyFont="1" applyFill="1" applyBorder="1" applyAlignment="1">
      <alignment vertical="center"/>
    </xf>
    <xf numFmtId="0" fontId="3" fillId="4" borderId="11" xfId="0" applyFont="1" applyFill="1" applyBorder="1" applyAlignment="1">
      <alignment vertical="center"/>
    </xf>
    <xf numFmtId="2" fontId="0" fillId="4" borderId="11" xfId="0" applyNumberFormat="1" applyFill="1" applyBorder="1" applyAlignment="1">
      <alignment horizontal="center" vertical="center"/>
    </xf>
    <xf numFmtId="164" fontId="0" fillId="4" borderId="12" xfId="0" applyNumberFormat="1" applyFill="1" applyBorder="1" applyAlignment="1">
      <alignment horizontal="center" vertical="center"/>
    </xf>
    <xf numFmtId="0" fontId="3" fillId="4" borderId="25" xfId="0" applyFont="1" applyFill="1" applyBorder="1" applyAlignment="1">
      <alignment vertical="center"/>
    </xf>
    <xf numFmtId="2" fontId="0" fillId="4" borderId="25" xfId="0" applyNumberFormat="1" applyFill="1" applyBorder="1" applyAlignment="1">
      <alignment horizontal="center" vertical="center"/>
    </xf>
    <xf numFmtId="164" fontId="0" fillId="4" borderId="26" xfId="0" applyNumberFormat="1" applyFill="1" applyBorder="1" applyAlignment="1">
      <alignment horizontal="center" vertical="center"/>
    </xf>
    <xf numFmtId="0" fontId="3" fillId="4" borderId="8" xfId="0" applyFont="1" applyFill="1" applyBorder="1" applyAlignment="1">
      <alignment vertical="center"/>
    </xf>
    <xf numFmtId="2" fontId="0" fillId="4" borderId="8" xfId="0" applyNumberFormat="1" applyFill="1" applyBorder="1" applyAlignment="1">
      <alignment horizontal="center" vertical="center"/>
    </xf>
    <xf numFmtId="164" fontId="0" fillId="4" borderId="9" xfId="0" applyNumberForma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5" fillId="5" borderId="0" xfId="0" applyFont="1" applyFill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28" xfId="0" applyFont="1" applyFill="1" applyBorder="1" applyAlignment="1">
      <alignment vertical="center"/>
    </xf>
    <xf numFmtId="2" fontId="0" fillId="5" borderId="28" xfId="0" applyNumberFormat="1" applyFill="1" applyBorder="1" applyAlignment="1">
      <alignment horizontal="center" vertical="center"/>
    </xf>
    <xf numFmtId="164" fontId="0" fillId="5" borderId="29" xfId="0" applyNumberFormat="1" applyFill="1" applyBorder="1" applyAlignment="1">
      <alignment horizontal="center" vertical="center"/>
    </xf>
    <xf numFmtId="0" fontId="0" fillId="5" borderId="0" xfId="0" applyFill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5" xfId="0" applyFont="1" applyFill="1" applyBorder="1" applyAlignment="1">
      <alignment vertical="center"/>
    </xf>
    <xf numFmtId="2" fontId="0" fillId="5" borderId="5" xfId="0" applyNumberFormat="1" applyFill="1" applyBorder="1" applyAlignment="1">
      <alignment horizontal="center" vertical="center"/>
    </xf>
    <xf numFmtId="164" fontId="0" fillId="5" borderId="6" xfId="0" applyNumberFormat="1" applyFill="1" applyBorder="1" applyAlignment="1">
      <alignment horizontal="center" vertical="center"/>
    </xf>
    <xf numFmtId="2" fontId="0" fillId="5" borderId="8" xfId="0" applyNumberFormat="1" applyFill="1" applyBorder="1" applyAlignment="1">
      <alignment horizontal="center" vertical="center"/>
    </xf>
    <xf numFmtId="164" fontId="0" fillId="5" borderId="9" xfId="0" applyNumberFormat="1" applyFill="1" applyBorder="1" applyAlignment="1">
      <alignment horizontal="center" vertical="center"/>
    </xf>
    <xf numFmtId="0" fontId="3" fillId="5" borderId="7" xfId="0" applyFont="1" applyFill="1" applyBorder="1" applyAlignment="1">
      <alignment vertical="center"/>
    </xf>
    <xf numFmtId="0" fontId="3" fillId="5" borderId="8" xfId="0" applyFont="1" applyFill="1" applyBorder="1" applyAlignment="1">
      <alignment vertical="center"/>
    </xf>
    <xf numFmtId="0" fontId="3" fillId="5" borderId="10" xfId="0" applyFont="1" applyFill="1" applyBorder="1" applyAlignment="1">
      <alignment vertical="center"/>
    </xf>
    <xf numFmtId="0" fontId="3" fillId="5" borderId="11" xfId="0" applyFont="1" applyFill="1" applyBorder="1" applyAlignment="1">
      <alignment vertical="center"/>
    </xf>
    <xf numFmtId="2" fontId="0" fillId="5" borderId="11" xfId="0" applyNumberFormat="1" applyFill="1" applyBorder="1" applyAlignment="1">
      <alignment horizontal="center" vertical="center"/>
    </xf>
    <xf numFmtId="164" fontId="0" fillId="5" borderId="12" xfId="0" applyNumberFormat="1" applyFill="1" applyBorder="1" applyAlignment="1">
      <alignment horizontal="center" vertical="center"/>
    </xf>
    <xf numFmtId="0" fontId="5" fillId="6" borderId="0" xfId="0" applyFont="1" applyFill="1" applyAlignment="1">
      <alignment vertical="center"/>
    </xf>
    <xf numFmtId="0" fontId="0" fillId="6" borderId="27" xfId="0" applyFill="1" applyBorder="1" applyAlignment="1">
      <alignment vertical="center"/>
    </xf>
    <xf numFmtId="0" fontId="3" fillId="6" borderId="28" xfId="0" applyFont="1" applyFill="1" applyBorder="1" applyAlignment="1">
      <alignment vertical="center"/>
    </xf>
    <xf numFmtId="2" fontId="0" fillId="6" borderId="28" xfId="0" applyNumberFormat="1" applyFill="1" applyBorder="1" applyAlignment="1">
      <alignment horizontal="center" vertical="center"/>
    </xf>
    <xf numFmtId="164" fontId="0" fillId="6" borderId="29" xfId="0" applyNumberForma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3" fillId="6" borderId="4" xfId="0" applyFont="1" applyFill="1" applyBorder="1" applyAlignment="1">
      <alignment vertical="center"/>
    </xf>
    <xf numFmtId="0" fontId="3" fillId="6" borderId="5" xfId="0" applyFont="1" applyFill="1" applyBorder="1" applyAlignment="1">
      <alignment vertical="center"/>
    </xf>
    <xf numFmtId="2" fontId="0" fillId="6" borderId="5" xfId="0" applyNumberFormat="1" applyFill="1" applyBorder="1" applyAlignment="1">
      <alignment horizontal="center" vertical="center"/>
    </xf>
    <xf numFmtId="164" fontId="0" fillId="6" borderId="6" xfId="0" applyNumberFormat="1" applyFill="1" applyBorder="1" applyAlignment="1">
      <alignment horizontal="center" vertical="center"/>
    </xf>
    <xf numFmtId="2" fontId="0" fillId="6" borderId="8" xfId="0" applyNumberFormat="1" applyFill="1" applyBorder="1" applyAlignment="1">
      <alignment horizontal="center" vertical="center"/>
    </xf>
    <xf numFmtId="164" fontId="0" fillId="6" borderId="9" xfId="0" applyNumberFormat="1" applyFill="1" applyBorder="1" applyAlignment="1">
      <alignment horizontal="center" vertical="center"/>
    </xf>
    <xf numFmtId="0" fontId="3" fillId="6" borderId="7" xfId="0" applyFont="1" applyFill="1" applyBorder="1" applyAlignment="1">
      <alignment vertical="center"/>
    </xf>
    <xf numFmtId="0" fontId="3" fillId="6" borderId="8" xfId="0" applyFont="1" applyFill="1" applyBorder="1" applyAlignment="1">
      <alignment vertical="center"/>
    </xf>
    <xf numFmtId="0" fontId="3" fillId="6" borderId="10" xfId="0" applyFont="1" applyFill="1" applyBorder="1" applyAlignment="1">
      <alignment vertical="center"/>
    </xf>
    <xf numFmtId="0" fontId="3" fillId="6" borderId="11" xfId="0" applyFont="1" applyFill="1" applyBorder="1" applyAlignment="1">
      <alignment vertical="center"/>
    </xf>
    <xf numFmtId="2" fontId="0" fillId="6" borderId="11" xfId="0" applyNumberFormat="1" applyFill="1" applyBorder="1" applyAlignment="1">
      <alignment horizontal="center" vertical="center"/>
    </xf>
    <xf numFmtId="164" fontId="0" fillId="6" borderId="12" xfId="0" applyNumberFormat="1" applyFill="1" applyBorder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3" fillId="7" borderId="4" xfId="0" applyFont="1" applyFill="1" applyBorder="1" applyAlignment="1">
      <alignment vertical="center"/>
    </xf>
    <xf numFmtId="0" fontId="3" fillId="7" borderId="5" xfId="0" applyFont="1" applyFill="1" applyBorder="1" applyAlignment="1">
      <alignment vertical="center"/>
    </xf>
    <xf numFmtId="2" fontId="0" fillId="7" borderId="5" xfId="0" applyNumberFormat="1" applyFill="1" applyBorder="1" applyAlignment="1">
      <alignment horizontal="center" vertical="center"/>
    </xf>
    <xf numFmtId="164" fontId="0" fillId="7" borderId="6" xfId="0" applyNumberFormat="1" applyFill="1" applyBorder="1" applyAlignment="1">
      <alignment horizontal="center" vertical="center"/>
    </xf>
    <xf numFmtId="0" fontId="3" fillId="7" borderId="10" xfId="0" applyFont="1" applyFill="1" applyBorder="1" applyAlignment="1">
      <alignment vertical="center"/>
    </xf>
    <xf numFmtId="0" fontId="3" fillId="7" borderId="11" xfId="0" applyFont="1" applyFill="1" applyBorder="1" applyAlignment="1">
      <alignment vertical="center"/>
    </xf>
    <xf numFmtId="2" fontId="0" fillId="7" borderId="11" xfId="0" applyNumberFormat="1" applyFill="1" applyBorder="1" applyAlignment="1">
      <alignment horizontal="center" vertical="center"/>
    </xf>
    <xf numFmtId="164" fontId="0" fillId="7" borderId="12" xfId="0" applyNumberFormat="1" applyFill="1" applyBorder="1" applyAlignment="1">
      <alignment horizontal="center" vertical="center"/>
    </xf>
    <xf numFmtId="0" fontId="5" fillId="8" borderId="0" xfId="0" applyFont="1" applyFill="1" applyAlignment="1">
      <alignment vertical="center"/>
    </xf>
    <xf numFmtId="0" fontId="3" fillId="8" borderId="7" xfId="0" applyFont="1" applyFill="1" applyBorder="1" applyAlignment="1">
      <alignment vertical="center"/>
    </xf>
    <xf numFmtId="0" fontId="3" fillId="8" borderId="8" xfId="0" applyFont="1" applyFill="1" applyBorder="1" applyAlignment="1">
      <alignment vertical="center"/>
    </xf>
    <xf numFmtId="2" fontId="0" fillId="8" borderId="8" xfId="0" applyNumberFormat="1" applyFill="1" applyBorder="1" applyAlignment="1">
      <alignment horizontal="center" vertical="center"/>
    </xf>
    <xf numFmtId="164" fontId="0" fillId="8" borderId="9" xfId="0" applyNumberFormat="1" applyFill="1" applyBorder="1" applyAlignment="1">
      <alignment horizontal="center" vertical="center"/>
    </xf>
    <xf numFmtId="0" fontId="0" fillId="8" borderId="0" xfId="0" applyFill="1" applyAlignment="1">
      <alignment vertical="center"/>
    </xf>
    <xf numFmtId="164" fontId="0" fillId="2" borderId="0" xfId="0" applyNumberFormat="1" applyFill="1" applyAlignment="1">
      <alignment vertical="center"/>
    </xf>
    <xf numFmtId="0" fontId="3" fillId="7" borderId="0" xfId="0" applyFont="1" applyFill="1" applyAlignment="1">
      <alignment vertical="center"/>
    </xf>
    <xf numFmtId="2" fontId="0" fillId="7" borderId="0" xfId="0" applyNumberFormat="1" applyFill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0" fontId="3" fillId="7" borderId="8" xfId="0" applyFont="1" applyFill="1" applyBorder="1" applyAlignment="1">
      <alignment vertical="center"/>
    </xf>
    <xf numFmtId="2" fontId="0" fillId="7" borderId="8" xfId="0" applyNumberFormat="1" applyFill="1" applyBorder="1" applyAlignment="1">
      <alignment horizontal="center" vertical="center"/>
    </xf>
    <xf numFmtId="0" fontId="3" fillId="7" borderId="7" xfId="0" applyFont="1" applyFill="1" applyBorder="1" applyAlignment="1">
      <alignment vertical="center"/>
    </xf>
    <xf numFmtId="164" fontId="0" fillId="7" borderId="9" xfId="0" applyNumberFormat="1" applyFill="1" applyBorder="1" applyAlignment="1">
      <alignment horizontal="center" vertical="center"/>
    </xf>
    <xf numFmtId="0" fontId="3" fillId="7" borderId="15" xfId="0" applyFont="1" applyFill="1" applyBorder="1" applyAlignment="1">
      <alignment vertical="center"/>
    </xf>
    <xf numFmtId="2" fontId="0" fillId="7" borderId="15" xfId="0" applyNumberFormat="1" applyFill="1" applyBorder="1" applyAlignment="1">
      <alignment horizontal="center" vertical="center"/>
    </xf>
    <xf numFmtId="164" fontId="0" fillId="7" borderId="16" xfId="0" applyNumberFormat="1" applyFill="1" applyBorder="1" applyAlignment="1">
      <alignment horizontal="center" vertical="center"/>
    </xf>
    <xf numFmtId="0" fontId="0" fillId="7" borderId="0" xfId="0" applyFill="1" applyAlignment="1">
      <alignment vertical="center"/>
    </xf>
    <xf numFmtId="0" fontId="2" fillId="7" borderId="0" xfId="0" applyFont="1" applyFill="1" applyAlignment="1">
      <alignment horizontal="center" vertical="center"/>
    </xf>
    <xf numFmtId="0" fontId="3" fillId="9" borderId="14" xfId="0" applyFont="1" applyFill="1" applyBorder="1" applyAlignment="1">
      <alignment vertical="center"/>
    </xf>
    <xf numFmtId="0" fontId="3" fillId="9" borderId="4" xfId="0" applyFont="1" applyFill="1" applyBorder="1" applyAlignment="1">
      <alignment vertical="center"/>
    </xf>
    <xf numFmtId="0" fontId="2" fillId="2" borderId="3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3" borderId="0" xfId="0" applyFill="1"/>
    <xf numFmtId="2" fontId="0" fillId="3" borderId="8" xfId="0" applyNumberFormat="1" applyFill="1" applyBorder="1" applyAlignment="1">
      <alignment horizontal="center"/>
    </xf>
    <xf numFmtId="164" fontId="0" fillId="3" borderId="17" xfId="0" applyNumberFormat="1" applyFill="1" applyBorder="1" applyAlignment="1">
      <alignment horizontal="center"/>
    </xf>
    <xf numFmtId="165" fontId="0" fillId="3" borderId="8" xfId="0" applyNumberFormat="1" applyFill="1" applyBorder="1"/>
    <xf numFmtId="165" fontId="0" fillId="3" borderId="8" xfId="0" applyNumberFormat="1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2" fontId="0" fillId="3" borderId="5" xfId="0" applyNumberFormat="1" applyFill="1" applyBorder="1" applyAlignment="1">
      <alignment horizontal="center"/>
    </xf>
    <xf numFmtId="164" fontId="0" fillId="3" borderId="18" xfId="0" applyNumberFormat="1" applyFill="1" applyBorder="1" applyAlignment="1">
      <alignment horizontal="center"/>
    </xf>
    <xf numFmtId="2" fontId="1" fillId="3" borderId="8" xfId="0" applyNumberFormat="1" applyFont="1" applyFill="1" applyBorder="1" applyAlignment="1">
      <alignment horizontal="center"/>
    </xf>
    <xf numFmtId="0" fontId="0" fillId="3" borderId="10" xfId="0" applyFill="1" applyBorder="1"/>
    <xf numFmtId="2" fontId="0" fillId="3" borderId="11" xfId="0" applyNumberFormat="1" applyFill="1" applyBorder="1" applyAlignment="1">
      <alignment horizontal="center"/>
    </xf>
    <xf numFmtId="2" fontId="1" fillId="3" borderId="11" xfId="0" applyNumberFormat="1" applyFont="1" applyFill="1" applyBorder="1" applyAlignment="1">
      <alignment horizontal="center"/>
    </xf>
    <xf numFmtId="164" fontId="0" fillId="3" borderId="19" xfId="0" applyNumberFormat="1" applyFill="1" applyBorder="1" applyAlignment="1">
      <alignment horizontal="center"/>
    </xf>
    <xf numFmtId="0" fontId="0" fillId="3" borderId="13" xfId="0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165" fontId="0" fillId="3" borderId="15" xfId="0" applyNumberFormat="1" applyFill="1" applyBorder="1"/>
    <xf numFmtId="165" fontId="0" fillId="2" borderId="30" xfId="0" applyNumberFormat="1" applyFill="1" applyBorder="1"/>
    <xf numFmtId="165" fontId="0" fillId="2" borderId="3" xfId="0" applyNumberFormat="1" applyFill="1" applyBorder="1"/>
    <xf numFmtId="164" fontId="0" fillId="2" borderId="0" xfId="0" applyNumberFormat="1" applyFill="1"/>
    <xf numFmtId="2" fontId="0" fillId="3" borderId="0" xfId="0" applyNumberFormat="1" applyFill="1"/>
    <xf numFmtId="0" fontId="3" fillId="5" borderId="0" xfId="0" applyFont="1" applyFill="1" applyAlignment="1">
      <alignment vertical="center"/>
    </xf>
    <xf numFmtId="2" fontId="0" fillId="5" borderId="0" xfId="0" applyNumberFormat="1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0" fontId="3" fillId="4" borderId="24" xfId="0" applyFont="1" applyFill="1" applyBorder="1" applyAlignment="1">
      <alignment vertical="center"/>
    </xf>
    <xf numFmtId="0" fontId="6" fillId="4" borderId="0" xfId="0" applyFont="1" applyFill="1" applyAlignment="1">
      <alignment vertical="center"/>
    </xf>
    <xf numFmtId="0" fontId="7" fillId="4" borderId="21" xfId="0" applyFont="1" applyFill="1" applyBorder="1" applyAlignment="1">
      <alignment vertical="center"/>
    </xf>
    <xf numFmtId="0" fontId="8" fillId="4" borderId="20" xfId="0" applyFont="1" applyFill="1" applyBorder="1" applyAlignment="1">
      <alignment vertical="center"/>
    </xf>
    <xf numFmtId="0" fontId="8" fillId="4" borderId="21" xfId="0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center" vertical="center"/>
    </xf>
    <xf numFmtId="164" fontId="6" fillId="4" borderId="26" xfId="0" applyNumberFormat="1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2" fontId="0" fillId="5" borderId="21" xfId="0" applyNumberFormat="1" applyFill="1" applyBorder="1" applyAlignment="1">
      <alignment horizontal="center" vertical="center"/>
    </xf>
    <xf numFmtId="2" fontId="0" fillId="5" borderId="8" xfId="0" applyNumberFormat="1" applyFill="1" applyBorder="1" applyAlignment="1">
      <alignment horizontal="center" vertical="center"/>
    </xf>
    <xf numFmtId="164" fontId="0" fillId="5" borderId="23" xfId="0" applyNumberFormat="1" applyFill="1" applyBorder="1" applyAlignment="1">
      <alignment horizontal="center" vertical="center"/>
    </xf>
    <xf numFmtId="164" fontId="0" fillId="5" borderId="9" xfId="0" applyNumberFormat="1" applyFill="1" applyBorder="1" applyAlignment="1">
      <alignment horizontal="center" vertical="center"/>
    </xf>
    <xf numFmtId="2" fontId="0" fillId="6" borderId="21" xfId="0" applyNumberFormat="1" applyFill="1" applyBorder="1" applyAlignment="1">
      <alignment horizontal="center" vertical="center"/>
    </xf>
    <xf numFmtId="2" fontId="0" fillId="6" borderId="8" xfId="0" applyNumberFormat="1" applyFill="1" applyBorder="1" applyAlignment="1">
      <alignment horizontal="center" vertical="center"/>
    </xf>
    <xf numFmtId="164" fontId="0" fillId="6" borderId="23" xfId="0" applyNumberFormat="1" applyFill="1" applyBorder="1" applyAlignment="1">
      <alignment horizontal="center" vertical="center"/>
    </xf>
    <xf numFmtId="164" fontId="0" fillId="6" borderId="9" xfId="0" applyNumberForma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3" borderId="1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2405F-798B-4F26-B36A-E5E2A199055F}">
  <dimension ref="A1:N53"/>
  <sheetViews>
    <sheetView zoomScale="120" zoomScaleNormal="120" workbookViewId="0">
      <selection activeCell="F12" sqref="F12"/>
    </sheetView>
  </sheetViews>
  <sheetFormatPr defaultColWidth="8.6640625" defaultRowHeight="14.4" x14ac:dyDescent="0.3"/>
  <cols>
    <col min="1" max="1" width="8.6640625" style="1"/>
    <col min="2" max="2" width="10.6640625" customWidth="1"/>
    <col min="3" max="3" width="21.33203125" style="1" hidden="1" customWidth="1"/>
    <col min="4" max="4" width="18.33203125" style="1" hidden="1" customWidth="1"/>
    <col min="5" max="5" width="13.44140625" style="1" customWidth="1"/>
    <col min="6" max="6" width="7.6640625" style="1" customWidth="1"/>
    <col min="7" max="9" width="8.6640625" style="1"/>
    <col min="10" max="10" width="14.5546875" style="1" customWidth="1"/>
    <col min="11" max="11" width="10.88671875" style="1" customWidth="1"/>
    <col min="12" max="12" width="12" style="1" customWidth="1"/>
    <col min="13" max="13" width="13" style="1" customWidth="1"/>
    <col min="14" max="14" width="9.109375" style="1" bestFit="1" customWidth="1"/>
    <col min="15" max="16384" width="8.6640625" style="1"/>
  </cols>
  <sheetData>
    <row r="1" spans="1:14" ht="15" thickBot="1" x14ac:dyDescent="0.35">
      <c r="F1" s="168" t="s">
        <v>0</v>
      </c>
      <c r="G1" s="168"/>
      <c r="H1" s="168"/>
      <c r="I1" s="168"/>
    </row>
    <row r="2" spans="1:14" ht="15" thickBot="1" x14ac:dyDescent="0.35">
      <c r="B2" s="5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3" t="s">
        <v>6</v>
      </c>
      <c r="H2" s="3" t="s">
        <v>7</v>
      </c>
      <c r="I2" s="119" t="s">
        <v>8</v>
      </c>
      <c r="J2" s="120" t="s">
        <v>9</v>
      </c>
      <c r="K2" s="120" t="s">
        <v>10</v>
      </c>
      <c r="L2" s="120" t="s">
        <v>11</v>
      </c>
      <c r="M2" s="120" t="s">
        <v>12</v>
      </c>
    </row>
    <row r="3" spans="1:14" s="121" customFormat="1" x14ac:dyDescent="0.3">
      <c r="A3" s="135"/>
      <c r="B3" s="33" t="s">
        <v>13</v>
      </c>
      <c r="C3" s="34" t="s">
        <v>14</v>
      </c>
      <c r="D3" s="34" t="s">
        <v>15</v>
      </c>
      <c r="E3" s="34" t="s">
        <v>16</v>
      </c>
      <c r="F3" s="122">
        <v>2.2999999999999998</v>
      </c>
      <c r="G3" s="122">
        <v>1.1200000000000001</v>
      </c>
      <c r="H3" s="122">
        <v>1.62</v>
      </c>
      <c r="I3" s="123">
        <v>1.3580000000000001</v>
      </c>
      <c r="J3" s="125">
        <v>11886</v>
      </c>
      <c r="K3" s="124">
        <v>395</v>
      </c>
      <c r="L3" s="124">
        <v>1551</v>
      </c>
      <c r="M3" s="124">
        <v>13832</v>
      </c>
      <c r="N3" s="141">
        <f>F3*G3*H3</f>
        <v>4.1731199999999999</v>
      </c>
    </row>
    <row r="4" spans="1:14" s="121" customFormat="1" x14ac:dyDescent="0.3">
      <c r="A4" s="135"/>
      <c r="B4" s="33" t="s">
        <v>17</v>
      </c>
      <c r="C4" s="34" t="s">
        <v>14</v>
      </c>
      <c r="D4" s="34" t="s">
        <v>15</v>
      </c>
      <c r="E4" s="34" t="s">
        <v>16</v>
      </c>
      <c r="F4" s="122">
        <v>2.2999999999999998</v>
      </c>
      <c r="G4" s="122">
        <v>1.1200000000000001</v>
      </c>
      <c r="H4" s="122">
        <v>1.62</v>
      </c>
      <c r="I4" s="123">
        <v>1.3580000000000001</v>
      </c>
      <c r="J4" s="125">
        <v>11886</v>
      </c>
      <c r="K4" s="124">
        <v>395</v>
      </c>
      <c r="L4" s="124">
        <v>1551</v>
      </c>
      <c r="M4" s="124">
        <v>13832</v>
      </c>
      <c r="N4" s="141">
        <f>F3*G3*H3</f>
        <v>4.1731199999999999</v>
      </c>
    </row>
    <row r="5" spans="1:14" s="121" customFormat="1" x14ac:dyDescent="0.3">
      <c r="A5" s="169"/>
      <c r="B5" s="33" t="s">
        <v>18</v>
      </c>
      <c r="C5" s="34" t="s">
        <v>14</v>
      </c>
      <c r="D5" s="34" t="s">
        <v>15</v>
      </c>
      <c r="E5" s="34" t="s">
        <v>16</v>
      </c>
      <c r="F5" s="122">
        <v>2.2999999999999998</v>
      </c>
      <c r="G5" s="122">
        <v>1.1200000000000001</v>
      </c>
      <c r="H5" s="122">
        <v>1.62</v>
      </c>
      <c r="I5" s="123">
        <v>1.3580000000000001</v>
      </c>
      <c r="J5" s="125">
        <v>11886</v>
      </c>
      <c r="K5" s="124">
        <v>395</v>
      </c>
      <c r="L5" s="124">
        <v>1551</v>
      </c>
      <c r="M5" s="124">
        <v>13832</v>
      </c>
      <c r="N5" s="141">
        <f>F3*G3*H3</f>
        <v>4.1731199999999999</v>
      </c>
    </row>
    <row r="6" spans="1:14" s="121" customFormat="1" x14ac:dyDescent="0.3">
      <c r="A6" s="169"/>
      <c r="B6" s="33" t="s">
        <v>19</v>
      </c>
      <c r="C6" s="34" t="s">
        <v>14</v>
      </c>
      <c r="D6" s="34" t="s">
        <v>15</v>
      </c>
      <c r="E6" s="34" t="s">
        <v>16</v>
      </c>
      <c r="F6" s="122">
        <v>2.2999999999999998</v>
      </c>
      <c r="G6" s="122">
        <v>1.1200000000000001</v>
      </c>
      <c r="H6" s="122">
        <v>1.62</v>
      </c>
      <c r="I6" s="123">
        <v>1.3580000000000001</v>
      </c>
      <c r="J6" s="125">
        <v>11886</v>
      </c>
      <c r="K6" s="124">
        <v>395</v>
      </c>
      <c r="L6" s="124">
        <v>1551</v>
      </c>
      <c r="M6" s="124">
        <v>13832</v>
      </c>
      <c r="N6" s="141">
        <f t="shared" ref="N6:N52" si="0">F6*G6*H6</f>
        <v>4.1731199999999999</v>
      </c>
    </row>
    <row r="7" spans="1:14" s="121" customFormat="1" x14ac:dyDescent="0.3">
      <c r="A7" s="135"/>
      <c r="B7" s="33" t="s">
        <v>20</v>
      </c>
      <c r="C7" s="34" t="s">
        <v>14</v>
      </c>
      <c r="D7" s="34" t="s">
        <v>15</v>
      </c>
      <c r="E7" s="34" t="s">
        <v>21</v>
      </c>
      <c r="F7" s="122">
        <v>2.77</v>
      </c>
      <c r="G7" s="122">
        <v>1.1200000000000001</v>
      </c>
      <c r="H7" s="122">
        <v>1.63</v>
      </c>
      <c r="I7" s="123">
        <v>1.51</v>
      </c>
      <c r="J7" s="125">
        <v>17038</v>
      </c>
      <c r="K7" s="124">
        <v>566</v>
      </c>
      <c r="L7" s="124">
        <v>2223</v>
      </c>
      <c r="M7" s="124">
        <v>19827</v>
      </c>
      <c r="N7" s="141">
        <f t="shared" si="0"/>
        <v>5.0569120000000005</v>
      </c>
    </row>
    <row r="8" spans="1:14" s="121" customFormat="1" x14ac:dyDescent="0.3">
      <c r="A8" s="135"/>
      <c r="B8" s="33" t="s">
        <v>22</v>
      </c>
      <c r="C8" s="34" t="s">
        <v>14</v>
      </c>
      <c r="D8" s="34" t="s">
        <v>15</v>
      </c>
      <c r="E8" s="34" t="s">
        <v>21</v>
      </c>
      <c r="F8" s="122">
        <v>2.77</v>
      </c>
      <c r="G8" s="122">
        <v>1.1200000000000001</v>
      </c>
      <c r="H8" s="122">
        <v>1.63</v>
      </c>
      <c r="I8" s="123">
        <v>1.51</v>
      </c>
      <c r="J8" s="125">
        <v>17038</v>
      </c>
      <c r="K8" s="124">
        <v>566</v>
      </c>
      <c r="L8" s="124">
        <v>2223</v>
      </c>
      <c r="M8" s="124">
        <v>19827</v>
      </c>
      <c r="N8" s="141">
        <f t="shared" si="0"/>
        <v>5.0569120000000005</v>
      </c>
    </row>
    <row r="9" spans="1:14" s="121" customFormat="1" x14ac:dyDescent="0.3">
      <c r="A9" s="135"/>
      <c r="B9" s="33" t="s">
        <v>23</v>
      </c>
      <c r="C9" s="34" t="s">
        <v>14</v>
      </c>
      <c r="D9" s="34" t="s">
        <v>15</v>
      </c>
      <c r="E9" s="34" t="s">
        <v>24</v>
      </c>
      <c r="F9" s="122">
        <v>2.8</v>
      </c>
      <c r="G9" s="122">
        <v>1.05</v>
      </c>
      <c r="H9" s="122">
        <v>1.68</v>
      </c>
      <c r="I9" s="123">
        <v>1.196</v>
      </c>
      <c r="J9" s="125">
        <v>13664</v>
      </c>
      <c r="K9" s="124">
        <v>489</v>
      </c>
      <c r="L9" s="124">
        <v>1783</v>
      </c>
      <c r="M9" s="124">
        <v>15936</v>
      </c>
      <c r="N9" s="141">
        <f t="shared" si="0"/>
        <v>4.9391999999999996</v>
      </c>
    </row>
    <row r="10" spans="1:14" s="121" customFormat="1" x14ac:dyDescent="0.3">
      <c r="A10" s="135"/>
      <c r="B10" s="33" t="s">
        <v>25</v>
      </c>
      <c r="C10" s="34" t="s">
        <v>14</v>
      </c>
      <c r="D10" s="34" t="s">
        <v>15</v>
      </c>
      <c r="E10" s="34" t="s">
        <v>24</v>
      </c>
      <c r="F10" s="122">
        <v>2.8</v>
      </c>
      <c r="G10" s="122">
        <v>1.05</v>
      </c>
      <c r="H10" s="122">
        <v>1.68</v>
      </c>
      <c r="I10" s="123">
        <v>1.196</v>
      </c>
      <c r="J10" s="125">
        <v>13664</v>
      </c>
      <c r="K10" s="124">
        <v>489</v>
      </c>
      <c r="L10" s="124">
        <v>1783</v>
      </c>
      <c r="M10" s="124">
        <v>15936</v>
      </c>
      <c r="N10" s="141">
        <f t="shared" si="0"/>
        <v>4.9391999999999996</v>
      </c>
    </row>
    <row r="11" spans="1:14" s="121" customFormat="1" x14ac:dyDescent="0.3">
      <c r="A11" s="135"/>
      <c r="B11" s="33" t="s">
        <v>26</v>
      </c>
      <c r="C11" s="34" t="s">
        <v>14</v>
      </c>
      <c r="D11" s="34" t="s">
        <v>15</v>
      </c>
      <c r="E11" s="34" t="s">
        <v>24</v>
      </c>
      <c r="F11" s="122">
        <v>2.8</v>
      </c>
      <c r="G11" s="122">
        <v>1.05</v>
      </c>
      <c r="H11" s="122">
        <v>1.68</v>
      </c>
      <c r="I11" s="123">
        <v>1.196</v>
      </c>
      <c r="J11" s="125">
        <v>13664</v>
      </c>
      <c r="K11" s="124">
        <v>489</v>
      </c>
      <c r="L11" s="124">
        <v>1783</v>
      </c>
      <c r="M11" s="124">
        <v>15936</v>
      </c>
      <c r="N11" s="141">
        <f t="shared" si="0"/>
        <v>4.9391999999999996</v>
      </c>
    </row>
    <row r="12" spans="1:14" s="121" customFormat="1" x14ac:dyDescent="0.3">
      <c r="A12" s="135"/>
      <c r="B12" s="33" t="s">
        <v>27</v>
      </c>
      <c r="C12" s="34" t="s">
        <v>14</v>
      </c>
      <c r="D12" s="34" t="s">
        <v>15</v>
      </c>
      <c r="E12" s="34" t="s">
        <v>24</v>
      </c>
      <c r="F12" s="122">
        <v>2.8</v>
      </c>
      <c r="G12" s="122">
        <v>1.05</v>
      </c>
      <c r="H12" s="122">
        <v>1.68</v>
      </c>
      <c r="I12" s="123">
        <v>1.196</v>
      </c>
      <c r="J12" s="125">
        <v>13664</v>
      </c>
      <c r="K12" s="124">
        <v>489</v>
      </c>
      <c r="L12" s="124">
        <v>1783</v>
      </c>
      <c r="M12" s="124">
        <v>15936</v>
      </c>
      <c r="N12" s="141">
        <f t="shared" si="0"/>
        <v>4.9391999999999996</v>
      </c>
    </row>
    <row r="13" spans="1:14" s="121" customFormat="1" x14ac:dyDescent="0.3">
      <c r="A13" s="135"/>
      <c r="B13" s="33" t="s">
        <v>28</v>
      </c>
      <c r="C13" s="34" t="s">
        <v>14</v>
      </c>
      <c r="D13" s="34" t="s">
        <v>15</v>
      </c>
      <c r="E13" s="34" t="s">
        <v>29</v>
      </c>
      <c r="F13" s="122">
        <v>3.38</v>
      </c>
      <c r="G13" s="122">
        <v>1.17</v>
      </c>
      <c r="H13" s="122">
        <v>1.85</v>
      </c>
      <c r="I13" s="123">
        <v>1.881</v>
      </c>
      <c r="J13" s="125">
        <v>16650</v>
      </c>
      <c r="K13" s="124">
        <v>553</v>
      </c>
      <c r="L13" s="124">
        <v>2173</v>
      </c>
      <c r="M13" s="124">
        <v>19376</v>
      </c>
      <c r="N13" s="141">
        <f t="shared" si="0"/>
        <v>7.3160099999999995</v>
      </c>
    </row>
    <row r="14" spans="1:14" s="121" customFormat="1" x14ac:dyDescent="0.3">
      <c r="A14" s="135"/>
      <c r="B14" s="136" t="s">
        <v>30</v>
      </c>
      <c r="C14" s="34" t="s">
        <v>14</v>
      </c>
      <c r="D14" s="34" t="s">
        <v>15</v>
      </c>
      <c r="E14" s="34" t="s">
        <v>29</v>
      </c>
      <c r="F14" s="122">
        <v>3.38</v>
      </c>
      <c r="G14" s="122">
        <v>1.17</v>
      </c>
      <c r="H14" s="122">
        <v>1.85</v>
      </c>
      <c r="I14" s="123">
        <v>1.881</v>
      </c>
      <c r="J14" s="125">
        <v>16650</v>
      </c>
      <c r="K14" s="124">
        <v>553</v>
      </c>
      <c r="L14" s="124">
        <v>2173</v>
      </c>
      <c r="M14" s="124">
        <v>19376</v>
      </c>
      <c r="N14" s="141">
        <f t="shared" si="0"/>
        <v>7.3160099999999995</v>
      </c>
    </row>
    <row r="15" spans="1:14" s="121" customFormat="1" x14ac:dyDescent="0.3">
      <c r="A15" s="135"/>
      <c r="B15" s="33" t="s">
        <v>31</v>
      </c>
      <c r="C15" s="34" t="s">
        <v>14</v>
      </c>
      <c r="D15" s="34" t="s">
        <v>15</v>
      </c>
      <c r="E15" s="34" t="s">
        <v>29</v>
      </c>
      <c r="F15" s="122">
        <v>3.38</v>
      </c>
      <c r="G15" s="122">
        <v>1.17</v>
      </c>
      <c r="H15" s="122">
        <v>1.85</v>
      </c>
      <c r="I15" s="123">
        <v>1.881</v>
      </c>
      <c r="J15" s="125">
        <v>16650</v>
      </c>
      <c r="K15" s="124">
        <v>553</v>
      </c>
      <c r="L15" s="124">
        <v>2173</v>
      </c>
      <c r="M15" s="124">
        <v>19376</v>
      </c>
      <c r="N15" s="141">
        <f t="shared" si="0"/>
        <v>7.3160099999999995</v>
      </c>
    </row>
    <row r="16" spans="1:14" s="121" customFormat="1" x14ac:dyDescent="0.3">
      <c r="A16" s="135"/>
      <c r="B16" s="33" t="s">
        <v>32</v>
      </c>
      <c r="C16" s="34" t="s">
        <v>14</v>
      </c>
      <c r="D16" s="34" t="s">
        <v>15</v>
      </c>
      <c r="E16" s="34" t="s">
        <v>33</v>
      </c>
      <c r="F16" s="122">
        <v>2.6619999999999999</v>
      </c>
      <c r="G16" s="122">
        <v>1.1120000000000001</v>
      </c>
      <c r="H16" s="122">
        <v>1.766</v>
      </c>
      <c r="I16" s="123">
        <v>2.2999999999999998</v>
      </c>
      <c r="J16" s="125">
        <v>41623</v>
      </c>
      <c r="K16" s="124">
        <v>1847</v>
      </c>
      <c r="L16" s="124">
        <v>5428</v>
      </c>
      <c r="M16" s="124">
        <v>48898</v>
      </c>
      <c r="N16" s="141">
        <f t="shared" si="0"/>
        <v>5.2276143040000003</v>
      </c>
    </row>
    <row r="17" spans="1:14" s="121" customFormat="1" x14ac:dyDescent="0.3">
      <c r="A17" s="126"/>
      <c r="B17" s="33" t="s">
        <v>34</v>
      </c>
      <c r="C17" s="34" t="s">
        <v>14</v>
      </c>
      <c r="D17" s="34" t="s">
        <v>15</v>
      </c>
      <c r="E17" s="34" t="s">
        <v>33</v>
      </c>
      <c r="F17" s="122">
        <v>2.6619999999999999</v>
      </c>
      <c r="G17" s="122">
        <v>1.1120000000000001</v>
      </c>
      <c r="H17" s="122">
        <v>1.766</v>
      </c>
      <c r="I17" s="123">
        <v>2.2999999999999998</v>
      </c>
      <c r="J17" s="125">
        <v>41623</v>
      </c>
      <c r="K17" s="124">
        <v>1847</v>
      </c>
      <c r="L17" s="124">
        <v>5428</v>
      </c>
      <c r="M17" s="124">
        <v>48898</v>
      </c>
      <c r="N17" s="141">
        <f t="shared" si="0"/>
        <v>5.2276143040000003</v>
      </c>
    </row>
    <row r="18" spans="1:14" s="121" customFormat="1" x14ac:dyDescent="0.3">
      <c r="B18" s="33" t="s">
        <v>35</v>
      </c>
      <c r="C18" s="34" t="s">
        <v>14</v>
      </c>
      <c r="D18" s="34" t="s">
        <v>15</v>
      </c>
      <c r="E18" s="34" t="s">
        <v>36</v>
      </c>
      <c r="F18" s="122">
        <v>3.38</v>
      </c>
      <c r="G18" s="122">
        <v>1.17</v>
      </c>
      <c r="H18" s="122">
        <v>1.85</v>
      </c>
      <c r="I18" s="123">
        <v>1.88</v>
      </c>
      <c r="J18" s="124">
        <v>22738</v>
      </c>
      <c r="K18" s="124">
        <v>664</v>
      </c>
      <c r="L18" s="124">
        <v>2968</v>
      </c>
      <c r="M18" s="124">
        <v>26370</v>
      </c>
      <c r="N18" s="141">
        <f t="shared" si="0"/>
        <v>7.3160099999999995</v>
      </c>
    </row>
    <row r="19" spans="1:14" s="121" customFormat="1" x14ac:dyDescent="0.3">
      <c r="B19" s="33" t="s">
        <v>37</v>
      </c>
      <c r="C19" s="34" t="s">
        <v>14</v>
      </c>
      <c r="D19" s="34" t="s">
        <v>15</v>
      </c>
      <c r="E19" s="34" t="s">
        <v>36</v>
      </c>
      <c r="F19" s="122">
        <v>3.38</v>
      </c>
      <c r="G19" s="122">
        <v>1.17</v>
      </c>
      <c r="H19" s="122">
        <v>1.85</v>
      </c>
      <c r="I19" s="123">
        <v>1.88</v>
      </c>
      <c r="J19" s="124">
        <v>22738</v>
      </c>
      <c r="K19" s="124">
        <v>664</v>
      </c>
      <c r="L19" s="124">
        <v>2968</v>
      </c>
      <c r="M19" s="124">
        <v>26370</v>
      </c>
      <c r="N19" s="141">
        <f t="shared" si="0"/>
        <v>7.3160099999999995</v>
      </c>
    </row>
    <row r="20" spans="1:14" s="121" customFormat="1" x14ac:dyDescent="0.3">
      <c r="B20" s="33" t="s">
        <v>38</v>
      </c>
      <c r="C20" s="34" t="s">
        <v>14</v>
      </c>
      <c r="D20" s="34" t="s">
        <v>15</v>
      </c>
      <c r="E20" s="34" t="s">
        <v>36</v>
      </c>
      <c r="F20" s="122">
        <v>3.38</v>
      </c>
      <c r="G20" s="122">
        <v>1.17</v>
      </c>
      <c r="H20" s="122">
        <v>1.85</v>
      </c>
      <c r="I20" s="123">
        <v>1.88</v>
      </c>
      <c r="J20" s="124">
        <v>22738</v>
      </c>
      <c r="K20" s="124">
        <v>664</v>
      </c>
      <c r="L20" s="124">
        <v>2968</v>
      </c>
      <c r="M20" s="124">
        <v>26370</v>
      </c>
      <c r="N20" s="141">
        <f t="shared" si="0"/>
        <v>7.3160099999999995</v>
      </c>
    </row>
    <row r="21" spans="1:14" s="121" customFormat="1" x14ac:dyDescent="0.3">
      <c r="B21" s="33" t="s">
        <v>39</v>
      </c>
      <c r="C21" s="34" t="s">
        <v>14</v>
      </c>
      <c r="D21" s="34" t="s">
        <v>15</v>
      </c>
      <c r="E21" s="34" t="s">
        <v>36</v>
      </c>
      <c r="F21" s="122">
        <v>3.38</v>
      </c>
      <c r="G21" s="122">
        <v>1.17</v>
      </c>
      <c r="H21" s="122">
        <v>1.85</v>
      </c>
      <c r="I21" s="123">
        <v>1.88</v>
      </c>
      <c r="J21" s="124">
        <v>22738</v>
      </c>
      <c r="K21" s="124">
        <v>664</v>
      </c>
      <c r="L21" s="124">
        <v>2968</v>
      </c>
      <c r="M21" s="124">
        <v>26370</v>
      </c>
      <c r="N21" s="141">
        <f t="shared" si="0"/>
        <v>7.3160099999999995</v>
      </c>
    </row>
    <row r="22" spans="1:14" s="121" customFormat="1" x14ac:dyDescent="0.3">
      <c r="B22" s="33" t="s">
        <v>40</v>
      </c>
      <c r="C22" s="34" t="s">
        <v>14</v>
      </c>
      <c r="D22" s="34" t="s">
        <v>15</v>
      </c>
      <c r="E22" s="34" t="s">
        <v>41</v>
      </c>
      <c r="F22" s="122">
        <v>4.03</v>
      </c>
      <c r="G22" s="122">
        <v>1.46</v>
      </c>
      <c r="H22" s="122">
        <v>2.19</v>
      </c>
      <c r="I22" s="123">
        <v>2.782</v>
      </c>
      <c r="J22" s="124">
        <v>38504</v>
      </c>
      <c r="K22" s="124">
        <v>1847</v>
      </c>
      <c r="L22" s="124">
        <v>5021</v>
      </c>
      <c r="M22" s="124">
        <v>45372</v>
      </c>
      <c r="N22" s="141">
        <f t="shared" si="0"/>
        <v>12.885522</v>
      </c>
    </row>
    <row r="23" spans="1:14" s="121" customFormat="1" x14ac:dyDescent="0.3">
      <c r="B23" s="33" t="s">
        <v>42</v>
      </c>
      <c r="C23" s="34" t="s">
        <v>14</v>
      </c>
      <c r="D23" s="34" t="s">
        <v>15</v>
      </c>
      <c r="E23" s="34" t="s">
        <v>43</v>
      </c>
      <c r="F23" s="122">
        <v>4.7699999999999996</v>
      </c>
      <c r="G23" s="122">
        <v>1.63</v>
      </c>
      <c r="H23" s="122">
        <v>2.36</v>
      </c>
      <c r="I23" s="123">
        <v>3.8079999999999998</v>
      </c>
      <c r="J23" s="124">
        <v>48346</v>
      </c>
      <c r="K23" s="124">
        <v>1581</v>
      </c>
      <c r="L23" s="124">
        <v>6309</v>
      </c>
      <c r="M23" s="124">
        <v>56236</v>
      </c>
      <c r="N23" s="141">
        <f t="shared" si="0"/>
        <v>18.349235999999998</v>
      </c>
    </row>
    <row r="24" spans="1:14" s="121" customFormat="1" x14ac:dyDescent="0.3">
      <c r="B24" s="33" t="s">
        <v>44</v>
      </c>
      <c r="C24" s="34" t="s">
        <v>14</v>
      </c>
      <c r="D24" s="34" t="s">
        <v>15</v>
      </c>
      <c r="E24" s="34" t="s">
        <v>43</v>
      </c>
      <c r="F24" s="122">
        <v>4.7699999999999996</v>
      </c>
      <c r="G24" s="122">
        <v>1.63</v>
      </c>
      <c r="H24" s="122">
        <v>2.36</v>
      </c>
      <c r="I24" s="123">
        <v>3.8079999999999998</v>
      </c>
      <c r="J24" s="124">
        <v>48346</v>
      </c>
      <c r="K24" s="124">
        <v>1581</v>
      </c>
      <c r="L24" s="124">
        <v>6309</v>
      </c>
      <c r="M24" s="124">
        <v>56236</v>
      </c>
      <c r="N24" s="141">
        <f t="shared" si="0"/>
        <v>18.349235999999998</v>
      </c>
    </row>
    <row r="25" spans="1:14" s="121" customFormat="1" x14ac:dyDescent="0.3">
      <c r="B25" s="33" t="s">
        <v>45</v>
      </c>
      <c r="C25" s="34" t="s">
        <v>14</v>
      </c>
      <c r="D25" s="34" t="s">
        <v>15</v>
      </c>
      <c r="E25" s="34" t="s">
        <v>46</v>
      </c>
      <c r="F25" s="122">
        <v>2.33</v>
      </c>
      <c r="G25" s="122">
        <v>0.96</v>
      </c>
      <c r="H25" s="122">
        <v>1.5</v>
      </c>
      <c r="I25" s="123">
        <v>0.98</v>
      </c>
      <c r="J25" s="124">
        <v>10954</v>
      </c>
      <c r="K25" s="124">
        <v>401</v>
      </c>
      <c r="L25" s="124">
        <v>1429</v>
      </c>
      <c r="M25" s="124">
        <v>12784</v>
      </c>
      <c r="N25" s="141">
        <f t="shared" si="0"/>
        <v>3.3552</v>
      </c>
    </row>
    <row r="26" spans="1:14" s="121" customFormat="1" x14ac:dyDescent="0.3">
      <c r="B26" s="33" t="s">
        <v>47</v>
      </c>
      <c r="C26" s="34" t="s">
        <v>14</v>
      </c>
      <c r="D26" s="34" t="s">
        <v>15</v>
      </c>
      <c r="E26" s="34" t="s">
        <v>46</v>
      </c>
      <c r="F26" s="122">
        <v>2.33</v>
      </c>
      <c r="G26" s="122">
        <v>0.96</v>
      </c>
      <c r="H26" s="122">
        <v>1.5</v>
      </c>
      <c r="I26" s="123">
        <v>0.98</v>
      </c>
      <c r="J26" s="124">
        <v>10954</v>
      </c>
      <c r="K26" s="124">
        <v>401</v>
      </c>
      <c r="L26" s="124">
        <v>1429</v>
      </c>
      <c r="M26" s="124">
        <v>12784</v>
      </c>
      <c r="N26" s="141">
        <f t="shared" si="0"/>
        <v>3.3552</v>
      </c>
    </row>
    <row r="27" spans="1:14" s="121" customFormat="1" x14ac:dyDescent="0.3">
      <c r="B27" s="33" t="s">
        <v>48</v>
      </c>
      <c r="C27" s="34" t="s">
        <v>14</v>
      </c>
      <c r="D27" s="34" t="s">
        <v>15</v>
      </c>
      <c r="E27" s="34" t="s">
        <v>46</v>
      </c>
      <c r="F27" s="122">
        <v>2.33</v>
      </c>
      <c r="G27" s="122">
        <v>0.96</v>
      </c>
      <c r="H27" s="122">
        <v>1.5</v>
      </c>
      <c r="I27" s="123">
        <v>0.98</v>
      </c>
      <c r="J27" s="124">
        <v>10954</v>
      </c>
      <c r="K27" s="124">
        <v>401</v>
      </c>
      <c r="L27" s="124">
        <v>1429</v>
      </c>
      <c r="M27" s="124">
        <v>12784</v>
      </c>
      <c r="N27" s="141">
        <f t="shared" si="0"/>
        <v>3.3552</v>
      </c>
    </row>
    <row r="28" spans="1:14" s="121" customFormat="1" x14ac:dyDescent="0.3">
      <c r="B28" s="33" t="s">
        <v>49</v>
      </c>
      <c r="C28" s="34" t="s">
        <v>14</v>
      </c>
      <c r="D28" s="34" t="s">
        <v>15</v>
      </c>
      <c r="E28" s="34" t="s">
        <v>46</v>
      </c>
      <c r="F28" s="122">
        <v>2.33</v>
      </c>
      <c r="G28" s="122">
        <v>0.96</v>
      </c>
      <c r="H28" s="122">
        <v>1.5</v>
      </c>
      <c r="I28" s="123">
        <v>0.98</v>
      </c>
      <c r="J28" s="124">
        <v>10954</v>
      </c>
      <c r="K28" s="124">
        <v>401</v>
      </c>
      <c r="L28" s="124">
        <v>1429</v>
      </c>
      <c r="M28" s="124">
        <v>12784</v>
      </c>
      <c r="N28" s="141">
        <f t="shared" si="0"/>
        <v>3.3552</v>
      </c>
    </row>
    <row r="29" spans="1:14" s="121" customFormat="1" x14ac:dyDescent="0.3">
      <c r="B29" s="33" t="s">
        <v>50</v>
      </c>
      <c r="C29" s="34" t="s">
        <v>14</v>
      </c>
      <c r="D29" s="34" t="s">
        <v>15</v>
      </c>
      <c r="E29" s="34" t="s">
        <v>51</v>
      </c>
      <c r="F29" s="122">
        <v>5.5720000000000001</v>
      </c>
      <c r="G29" s="130">
        <v>2.17</v>
      </c>
      <c r="H29" s="122">
        <v>2.3980000000000001</v>
      </c>
      <c r="I29" s="123">
        <v>6.69</v>
      </c>
      <c r="J29" s="124">
        <v>89709</v>
      </c>
      <c r="K29" s="124">
        <v>1932</v>
      </c>
      <c r="L29" s="124">
        <v>11714</v>
      </c>
      <c r="M29" s="124">
        <v>103355</v>
      </c>
      <c r="N29" s="141">
        <f t="shared" si="0"/>
        <v>28.994793519999998</v>
      </c>
    </row>
    <row r="30" spans="1:14" s="121" customFormat="1" ht="15" thickBot="1" x14ac:dyDescent="0.35">
      <c r="B30" s="131" t="s">
        <v>52</v>
      </c>
      <c r="C30" s="23" t="s">
        <v>14</v>
      </c>
      <c r="D30" s="23" t="s">
        <v>15</v>
      </c>
      <c r="E30" s="23" t="s">
        <v>51</v>
      </c>
      <c r="F30" s="132">
        <v>5.5720000000000001</v>
      </c>
      <c r="G30" s="133">
        <v>2.17</v>
      </c>
      <c r="H30" s="132">
        <v>2.3980000000000001</v>
      </c>
      <c r="I30" s="134">
        <v>6.69</v>
      </c>
      <c r="J30" s="124">
        <v>89709</v>
      </c>
      <c r="K30" s="124">
        <v>1932</v>
      </c>
      <c r="L30" s="124">
        <v>11714</v>
      </c>
      <c r="M30" s="124">
        <v>103355</v>
      </c>
      <c r="N30" s="141">
        <f t="shared" si="0"/>
        <v>28.994793519999998</v>
      </c>
    </row>
    <row r="31" spans="1:14" s="121" customFormat="1" ht="15" thickBot="1" x14ac:dyDescent="0.35">
      <c r="B31" s="33" t="s">
        <v>53</v>
      </c>
      <c r="C31" s="34" t="s">
        <v>14</v>
      </c>
      <c r="D31" s="34" t="s">
        <v>15</v>
      </c>
      <c r="E31" s="34" t="s">
        <v>54</v>
      </c>
      <c r="F31" s="122">
        <v>5.32</v>
      </c>
      <c r="G31" s="122">
        <v>1.92</v>
      </c>
      <c r="H31" s="122">
        <v>2.29</v>
      </c>
      <c r="I31" s="123">
        <v>5.952</v>
      </c>
      <c r="J31" s="124">
        <v>82551</v>
      </c>
      <c r="K31" s="124">
        <v>1871</v>
      </c>
      <c r="L31" s="124">
        <v>10780</v>
      </c>
      <c r="M31" s="124">
        <v>95202</v>
      </c>
      <c r="N31" s="141">
        <f t="shared" si="0"/>
        <v>23.390975999999998</v>
      </c>
    </row>
    <row r="32" spans="1:14" s="121" customFormat="1" x14ac:dyDescent="0.3">
      <c r="B32" s="17" t="s">
        <v>55</v>
      </c>
      <c r="C32" s="18" t="s">
        <v>14</v>
      </c>
      <c r="D32" s="18" t="s">
        <v>15</v>
      </c>
      <c r="E32" s="18" t="s">
        <v>56</v>
      </c>
      <c r="F32" s="128">
        <v>2</v>
      </c>
      <c r="G32" s="128">
        <v>0.92</v>
      </c>
      <c r="H32" s="128">
        <v>1.44</v>
      </c>
      <c r="I32" s="129">
        <v>0.83799999999999997</v>
      </c>
      <c r="J32" s="124">
        <v>8526</v>
      </c>
      <c r="K32" s="124">
        <v>305</v>
      </c>
      <c r="L32" s="124">
        <v>1113</v>
      </c>
      <c r="M32" s="124">
        <v>9944</v>
      </c>
      <c r="N32" s="141">
        <f t="shared" si="0"/>
        <v>2.6496</v>
      </c>
    </row>
    <row r="33" spans="1:14" s="121" customFormat="1" x14ac:dyDescent="0.3">
      <c r="B33" s="33" t="s">
        <v>57</v>
      </c>
      <c r="C33" s="34" t="s">
        <v>14</v>
      </c>
      <c r="D33" s="34" t="s">
        <v>15</v>
      </c>
      <c r="E33" s="34" t="s">
        <v>56</v>
      </c>
      <c r="F33" s="122">
        <v>2</v>
      </c>
      <c r="G33" s="122">
        <v>0.92</v>
      </c>
      <c r="H33" s="122">
        <v>1.44</v>
      </c>
      <c r="I33" s="123">
        <v>0.83799999999999997</v>
      </c>
      <c r="J33" s="124">
        <v>8526</v>
      </c>
      <c r="K33" s="124">
        <v>305</v>
      </c>
      <c r="L33" s="124">
        <v>1113</v>
      </c>
      <c r="M33" s="124">
        <v>9944</v>
      </c>
      <c r="N33" s="141">
        <f t="shared" si="0"/>
        <v>2.6496</v>
      </c>
    </row>
    <row r="34" spans="1:14" s="121" customFormat="1" x14ac:dyDescent="0.3">
      <c r="B34" s="33" t="s">
        <v>58</v>
      </c>
      <c r="C34" s="34" t="s">
        <v>14</v>
      </c>
      <c r="D34" s="34" t="s">
        <v>15</v>
      </c>
      <c r="E34" s="34" t="s">
        <v>56</v>
      </c>
      <c r="F34" s="122">
        <v>2</v>
      </c>
      <c r="G34" s="122">
        <v>0.92</v>
      </c>
      <c r="H34" s="122">
        <v>1.44</v>
      </c>
      <c r="I34" s="123">
        <v>0.83799999999999997</v>
      </c>
      <c r="J34" s="124">
        <v>8526</v>
      </c>
      <c r="K34" s="124">
        <v>305</v>
      </c>
      <c r="L34" s="124">
        <v>1113</v>
      </c>
      <c r="M34" s="124">
        <v>9944</v>
      </c>
      <c r="N34" s="141">
        <f t="shared" si="0"/>
        <v>2.6496</v>
      </c>
    </row>
    <row r="35" spans="1:14" s="121" customFormat="1" x14ac:dyDescent="0.3">
      <c r="B35" s="33" t="s">
        <v>59</v>
      </c>
      <c r="C35" s="34" t="s">
        <v>14</v>
      </c>
      <c r="D35" s="34" t="s">
        <v>15</v>
      </c>
      <c r="E35" s="34" t="s">
        <v>56</v>
      </c>
      <c r="F35" s="122">
        <v>2</v>
      </c>
      <c r="G35" s="122">
        <v>0.92</v>
      </c>
      <c r="H35" s="122">
        <v>1.44</v>
      </c>
      <c r="I35" s="123">
        <v>0.83799999999999997</v>
      </c>
      <c r="J35" s="124">
        <v>8526</v>
      </c>
      <c r="K35" s="124">
        <v>305</v>
      </c>
      <c r="L35" s="124">
        <v>1113</v>
      </c>
      <c r="M35" s="124">
        <v>9944</v>
      </c>
      <c r="N35" s="141">
        <f t="shared" si="0"/>
        <v>2.6496</v>
      </c>
    </row>
    <row r="36" spans="1:14" s="121" customFormat="1" x14ac:dyDescent="0.3">
      <c r="B36" s="33" t="s">
        <v>60</v>
      </c>
      <c r="C36" s="34" t="s">
        <v>14</v>
      </c>
      <c r="D36" s="34" t="s">
        <v>15</v>
      </c>
      <c r="E36" s="34" t="s">
        <v>56</v>
      </c>
      <c r="F36" s="122">
        <v>2</v>
      </c>
      <c r="G36" s="122">
        <v>0.92</v>
      </c>
      <c r="H36" s="122">
        <v>1.44</v>
      </c>
      <c r="I36" s="123">
        <v>0.83799999999999997</v>
      </c>
      <c r="J36" s="124">
        <v>8526</v>
      </c>
      <c r="K36" s="124">
        <v>305</v>
      </c>
      <c r="L36" s="124">
        <v>1113</v>
      </c>
      <c r="M36" s="124">
        <v>9944</v>
      </c>
      <c r="N36" s="141">
        <f t="shared" si="0"/>
        <v>2.6496</v>
      </c>
    </row>
    <row r="37" spans="1:14" s="121" customFormat="1" x14ac:dyDescent="0.3">
      <c r="B37" s="33" t="s">
        <v>61</v>
      </c>
      <c r="C37" s="34" t="s">
        <v>14</v>
      </c>
      <c r="D37" s="34" t="s">
        <v>15</v>
      </c>
      <c r="E37" s="34" t="s">
        <v>62</v>
      </c>
      <c r="F37" s="122">
        <v>4.93</v>
      </c>
      <c r="G37" s="122">
        <v>1.66</v>
      </c>
      <c r="H37" s="122">
        <v>2.3199999999999998</v>
      </c>
      <c r="I37" s="123">
        <v>4.7069999999999999</v>
      </c>
      <c r="J37" s="124">
        <v>56351</v>
      </c>
      <c r="K37" s="124">
        <v>1903</v>
      </c>
      <c r="L37" s="124">
        <v>7354</v>
      </c>
      <c r="M37" s="124">
        <v>65608</v>
      </c>
      <c r="N37" s="141">
        <f t="shared" si="0"/>
        <v>18.986415999999998</v>
      </c>
    </row>
    <row r="38" spans="1:14" s="121" customFormat="1" x14ac:dyDescent="0.3">
      <c r="B38" s="33" t="s">
        <v>63</v>
      </c>
      <c r="C38" s="34" t="s">
        <v>14</v>
      </c>
      <c r="D38" s="34" t="s">
        <v>15</v>
      </c>
      <c r="E38" s="34" t="s">
        <v>56</v>
      </c>
      <c r="F38" s="122">
        <v>2</v>
      </c>
      <c r="G38" s="122">
        <v>0.92</v>
      </c>
      <c r="H38" s="122">
        <v>1.44</v>
      </c>
      <c r="I38" s="123">
        <v>0.83699999999999997</v>
      </c>
      <c r="J38" s="124">
        <v>8526</v>
      </c>
      <c r="K38" s="124">
        <v>305</v>
      </c>
      <c r="L38" s="124">
        <v>1113</v>
      </c>
      <c r="M38" s="124">
        <v>9944</v>
      </c>
      <c r="N38" s="141">
        <f t="shared" si="0"/>
        <v>2.6496</v>
      </c>
    </row>
    <row r="39" spans="1:14" s="121" customFormat="1" x14ac:dyDescent="0.3">
      <c r="B39" s="33" t="s">
        <v>64</v>
      </c>
      <c r="C39" s="34" t="s">
        <v>14</v>
      </c>
      <c r="D39" s="34" t="s">
        <v>15</v>
      </c>
      <c r="E39" s="34" t="s">
        <v>65</v>
      </c>
      <c r="F39" s="122">
        <v>1.5</v>
      </c>
      <c r="G39" s="122">
        <v>0.62</v>
      </c>
      <c r="H39" s="122">
        <v>1.115</v>
      </c>
      <c r="I39" s="123">
        <v>0.44700000000000001</v>
      </c>
      <c r="J39" s="124">
        <v>6590</v>
      </c>
      <c r="K39" s="124">
        <v>236</v>
      </c>
      <c r="L39" s="124">
        <v>860</v>
      </c>
      <c r="M39" s="124">
        <v>7686</v>
      </c>
      <c r="N39" s="141">
        <f t="shared" si="0"/>
        <v>1.0369499999999998</v>
      </c>
    </row>
    <row r="40" spans="1:14" s="121" customFormat="1" x14ac:dyDescent="0.3">
      <c r="B40" s="33" t="s">
        <v>66</v>
      </c>
      <c r="C40" s="34" t="s">
        <v>14</v>
      </c>
      <c r="D40" s="34" t="s">
        <v>15</v>
      </c>
      <c r="E40" s="34" t="s">
        <v>65</v>
      </c>
      <c r="F40" s="122">
        <v>1.5</v>
      </c>
      <c r="G40" s="122">
        <v>0.62</v>
      </c>
      <c r="H40" s="122">
        <v>1.115</v>
      </c>
      <c r="I40" s="123">
        <v>0.44700000000000001</v>
      </c>
      <c r="J40" s="124">
        <v>6590</v>
      </c>
      <c r="K40" s="124">
        <v>236</v>
      </c>
      <c r="L40" s="124">
        <v>860</v>
      </c>
      <c r="M40" s="124">
        <v>7686</v>
      </c>
      <c r="N40" s="141">
        <f t="shared" si="0"/>
        <v>1.0369499999999998</v>
      </c>
    </row>
    <row r="41" spans="1:14" s="121" customFormat="1" x14ac:dyDescent="0.3">
      <c r="B41" s="33" t="s">
        <v>67</v>
      </c>
      <c r="C41" s="34" t="s">
        <v>14</v>
      </c>
      <c r="D41" s="34" t="s">
        <v>15</v>
      </c>
      <c r="E41" s="34" t="s">
        <v>68</v>
      </c>
      <c r="F41" s="122">
        <v>2.33</v>
      </c>
      <c r="G41" s="122">
        <v>0.96</v>
      </c>
      <c r="H41" s="122">
        <v>1.5</v>
      </c>
      <c r="I41" s="123">
        <v>0.877</v>
      </c>
      <c r="J41" s="124">
        <v>9574</v>
      </c>
      <c r="K41" s="124">
        <v>351</v>
      </c>
      <c r="L41" s="124">
        <v>1249</v>
      </c>
      <c r="M41" s="124">
        <v>11174</v>
      </c>
      <c r="N41" s="141">
        <f t="shared" si="0"/>
        <v>3.3552</v>
      </c>
    </row>
    <row r="42" spans="1:14" s="121" customFormat="1" x14ac:dyDescent="0.3">
      <c r="B42" s="33" t="s">
        <v>69</v>
      </c>
      <c r="C42" s="34" t="s">
        <v>14</v>
      </c>
      <c r="D42" s="34" t="s">
        <v>15</v>
      </c>
      <c r="E42" s="34" t="s">
        <v>68</v>
      </c>
      <c r="F42" s="122">
        <v>2.33</v>
      </c>
      <c r="G42" s="122">
        <v>0.96</v>
      </c>
      <c r="H42" s="122">
        <v>1.5</v>
      </c>
      <c r="I42" s="123">
        <v>0.877</v>
      </c>
      <c r="J42" s="124">
        <v>9574</v>
      </c>
      <c r="K42" s="124">
        <v>351</v>
      </c>
      <c r="L42" s="124">
        <v>1249</v>
      </c>
      <c r="M42" s="124">
        <v>11174</v>
      </c>
      <c r="N42" s="141">
        <f t="shared" si="0"/>
        <v>3.3552</v>
      </c>
    </row>
    <row r="43" spans="1:14" s="121" customFormat="1" x14ac:dyDescent="0.3">
      <c r="B43" s="33" t="s">
        <v>70</v>
      </c>
      <c r="C43" s="34" t="s">
        <v>14</v>
      </c>
      <c r="D43" s="34" t="s">
        <v>15</v>
      </c>
      <c r="E43" s="34" t="s">
        <v>68</v>
      </c>
      <c r="F43" s="122">
        <v>2.33</v>
      </c>
      <c r="G43" s="122">
        <v>0.96</v>
      </c>
      <c r="H43" s="122">
        <v>1.5</v>
      </c>
      <c r="I43" s="123">
        <v>0.877</v>
      </c>
      <c r="J43" s="124">
        <v>9574</v>
      </c>
      <c r="K43" s="124">
        <v>351</v>
      </c>
      <c r="L43" s="124">
        <v>1249</v>
      </c>
      <c r="M43" s="124">
        <v>11174</v>
      </c>
      <c r="N43" s="141">
        <f t="shared" si="0"/>
        <v>3.3552</v>
      </c>
    </row>
    <row r="44" spans="1:14" s="121" customFormat="1" x14ac:dyDescent="0.3">
      <c r="B44" s="33" t="s">
        <v>71</v>
      </c>
      <c r="C44" s="34" t="s">
        <v>14</v>
      </c>
      <c r="D44" s="34" t="s">
        <v>15</v>
      </c>
      <c r="E44" s="34" t="s">
        <v>41</v>
      </c>
      <c r="F44" s="122">
        <v>4.03</v>
      </c>
      <c r="G44" s="122">
        <v>1.46</v>
      </c>
      <c r="H44" s="122">
        <v>2.19</v>
      </c>
      <c r="I44" s="123">
        <v>2.782</v>
      </c>
      <c r="J44" s="124">
        <v>38504</v>
      </c>
      <c r="K44" s="124">
        <v>1847</v>
      </c>
      <c r="L44" s="124">
        <v>5021</v>
      </c>
      <c r="M44" s="124">
        <v>45372</v>
      </c>
      <c r="N44" s="141">
        <f t="shared" si="0"/>
        <v>12.885522</v>
      </c>
    </row>
    <row r="45" spans="1:14" s="121" customFormat="1" x14ac:dyDescent="0.3">
      <c r="B45" s="33" t="s">
        <v>72</v>
      </c>
      <c r="C45" s="34" t="s">
        <v>14</v>
      </c>
      <c r="D45" s="34" t="s">
        <v>15</v>
      </c>
      <c r="E45" s="34" t="s">
        <v>73</v>
      </c>
      <c r="F45" s="122">
        <v>3.988</v>
      </c>
      <c r="G45" s="122">
        <v>1.2070000000000001</v>
      </c>
      <c r="H45" s="122">
        <v>1.867</v>
      </c>
      <c r="I45" s="123">
        <v>2.8540000000000001</v>
      </c>
      <c r="J45" s="124">
        <v>42964</v>
      </c>
      <c r="K45" s="124">
        <v>3059</v>
      </c>
      <c r="L45" s="124">
        <v>5595</v>
      </c>
      <c r="M45" s="124">
        <v>51618</v>
      </c>
      <c r="N45" s="141">
        <f t="shared" si="0"/>
        <v>8.9868343720000006</v>
      </c>
    </row>
    <row r="46" spans="1:14" s="121" customFormat="1" x14ac:dyDescent="0.3">
      <c r="B46" s="33" t="s">
        <v>74</v>
      </c>
      <c r="C46" s="34" t="s">
        <v>14</v>
      </c>
      <c r="D46" s="34" t="s">
        <v>15</v>
      </c>
      <c r="E46" s="34" t="s">
        <v>62</v>
      </c>
      <c r="F46" s="122">
        <v>4.93</v>
      </c>
      <c r="G46" s="122">
        <v>1.66</v>
      </c>
      <c r="H46" s="122">
        <v>2.3199999999999998</v>
      </c>
      <c r="I46" s="123">
        <v>4.7069999999999999</v>
      </c>
      <c r="J46" s="124">
        <v>56351</v>
      </c>
      <c r="K46" s="124">
        <v>1903</v>
      </c>
      <c r="L46" s="124">
        <v>7354</v>
      </c>
      <c r="M46" s="124">
        <v>65608</v>
      </c>
      <c r="N46" s="141">
        <f t="shared" si="0"/>
        <v>18.986415999999998</v>
      </c>
    </row>
    <row r="47" spans="1:14" s="121" customFormat="1" x14ac:dyDescent="0.3">
      <c r="A47" s="127"/>
      <c r="B47" s="33" t="s">
        <v>75</v>
      </c>
      <c r="C47" s="34" t="s">
        <v>14</v>
      </c>
      <c r="D47" s="34" t="s">
        <v>15</v>
      </c>
      <c r="E47" s="34" t="s">
        <v>62</v>
      </c>
      <c r="F47" s="122">
        <v>4.93</v>
      </c>
      <c r="G47" s="122">
        <v>1.66</v>
      </c>
      <c r="H47" s="122">
        <v>2.3199999999999998</v>
      </c>
      <c r="I47" s="123">
        <v>4.7069999999999999</v>
      </c>
      <c r="J47" s="124">
        <v>56351</v>
      </c>
      <c r="K47" s="124">
        <v>1903</v>
      </c>
      <c r="L47" s="124">
        <v>7354</v>
      </c>
      <c r="M47" s="124">
        <v>65608</v>
      </c>
      <c r="N47" s="141">
        <f t="shared" si="0"/>
        <v>18.986415999999998</v>
      </c>
    </row>
    <row r="48" spans="1:14" s="121" customFormat="1" x14ac:dyDescent="0.3">
      <c r="A48" s="169"/>
      <c r="B48" s="33" t="s">
        <v>76</v>
      </c>
      <c r="C48" s="34" t="s">
        <v>14</v>
      </c>
      <c r="D48" s="34" t="s">
        <v>15</v>
      </c>
      <c r="E48" s="34" t="s">
        <v>68</v>
      </c>
      <c r="F48" s="122">
        <v>2.33</v>
      </c>
      <c r="G48" s="122">
        <v>0.96</v>
      </c>
      <c r="H48" s="122">
        <v>1.5</v>
      </c>
      <c r="I48" s="123">
        <v>0.877</v>
      </c>
      <c r="J48" s="124">
        <v>9574</v>
      </c>
      <c r="K48" s="124">
        <v>351</v>
      </c>
      <c r="L48" s="124">
        <v>1249</v>
      </c>
      <c r="M48" s="124">
        <v>11174</v>
      </c>
      <c r="N48" s="141">
        <f t="shared" si="0"/>
        <v>3.3552</v>
      </c>
    </row>
    <row r="49" spans="1:14" s="121" customFormat="1" x14ac:dyDescent="0.3">
      <c r="A49" s="169"/>
      <c r="B49" s="33" t="s">
        <v>77</v>
      </c>
      <c r="C49" s="34" t="s">
        <v>14</v>
      </c>
      <c r="D49" s="34" t="s">
        <v>15</v>
      </c>
      <c r="E49" s="34" t="s">
        <v>68</v>
      </c>
      <c r="F49" s="122">
        <v>2.33</v>
      </c>
      <c r="G49" s="122">
        <v>0.96</v>
      </c>
      <c r="H49" s="122">
        <v>1.5</v>
      </c>
      <c r="I49" s="123">
        <v>0.877</v>
      </c>
      <c r="J49" s="124">
        <v>9574</v>
      </c>
      <c r="K49" s="124">
        <v>351</v>
      </c>
      <c r="L49" s="124">
        <v>1249</v>
      </c>
      <c r="M49" s="124">
        <v>11174</v>
      </c>
      <c r="N49" s="141">
        <f t="shared" si="0"/>
        <v>3.3552</v>
      </c>
    </row>
    <row r="50" spans="1:14" s="121" customFormat="1" x14ac:dyDescent="0.3">
      <c r="A50" s="135"/>
      <c r="B50" s="33" t="s">
        <v>78</v>
      </c>
      <c r="C50" s="34" t="s">
        <v>14</v>
      </c>
      <c r="D50" s="34" t="s">
        <v>15</v>
      </c>
      <c r="E50" s="34" t="s">
        <v>68</v>
      </c>
      <c r="F50" s="122">
        <v>2.33</v>
      </c>
      <c r="G50" s="122">
        <v>0.96</v>
      </c>
      <c r="H50" s="122">
        <v>1.5</v>
      </c>
      <c r="I50" s="123">
        <v>0.877</v>
      </c>
      <c r="J50" s="124">
        <v>9574</v>
      </c>
      <c r="K50" s="124">
        <v>351</v>
      </c>
      <c r="L50" s="124">
        <v>1249</v>
      </c>
      <c r="M50" s="124">
        <v>11174</v>
      </c>
      <c r="N50" s="141">
        <f t="shared" si="0"/>
        <v>3.3552</v>
      </c>
    </row>
    <row r="51" spans="1:14" s="121" customFormat="1" x14ac:dyDescent="0.3">
      <c r="A51" s="135"/>
      <c r="B51" s="33" t="s">
        <v>79</v>
      </c>
      <c r="C51" s="34" t="s">
        <v>14</v>
      </c>
      <c r="D51" s="34" t="s">
        <v>15</v>
      </c>
      <c r="E51" s="34" t="s">
        <v>46</v>
      </c>
      <c r="F51" s="122">
        <v>2.33</v>
      </c>
      <c r="G51" s="122">
        <v>0.96</v>
      </c>
      <c r="H51" s="122">
        <v>1.5</v>
      </c>
      <c r="I51" s="123">
        <v>0.98</v>
      </c>
      <c r="J51" s="124">
        <v>10954</v>
      </c>
      <c r="K51" s="124">
        <v>401</v>
      </c>
      <c r="L51" s="124">
        <v>1429</v>
      </c>
      <c r="M51" s="124">
        <v>12784</v>
      </c>
      <c r="N51" s="141">
        <f t="shared" si="0"/>
        <v>3.3552</v>
      </c>
    </row>
    <row r="52" spans="1:14" s="121" customFormat="1" ht="15" thickBot="1" x14ac:dyDescent="0.35">
      <c r="A52" s="127"/>
      <c r="B52" s="33" t="s">
        <v>80</v>
      </c>
      <c r="C52" s="34" t="s">
        <v>14</v>
      </c>
      <c r="D52" s="34" t="s">
        <v>15</v>
      </c>
      <c r="E52" s="34" t="s">
        <v>46</v>
      </c>
      <c r="F52" s="122">
        <v>2.33</v>
      </c>
      <c r="G52" s="122">
        <v>0.96</v>
      </c>
      <c r="H52" s="122">
        <v>1.5</v>
      </c>
      <c r="I52" s="123">
        <v>0.98</v>
      </c>
      <c r="J52" s="137">
        <v>10954</v>
      </c>
      <c r="K52" s="137">
        <v>401</v>
      </c>
      <c r="L52" s="137">
        <v>1429</v>
      </c>
      <c r="M52" s="137">
        <v>12784</v>
      </c>
      <c r="N52" s="141">
        <f t="shared" si="0"/>
        <v>3.3552</v>
      </c>
    </row>
    <row r="53" spans="1:14" ht="15" thickBot="1" x14ac:dyDescent="0.35">
      <c r="I53" s="140">
        <f t="shared" ref="I53:N53" si="1">SUM(I3:I52)</f>
        <v>97.548999999999907</v>
      </c>
      <c r="J53" s="139">
        <f t="shared" si="1"/>
        <v>1195614</v>
      </c>
      <c r="K53" s="139">
        <f t="shared" si="1"/>
        <v>40850</v>
      </c>
      <c r="L53" s="139">
        <f t="shared" si="1"/>
        <v>156020</v>
      </c>
      <c r="M53" s="138">
        <f t="shared" si="1"/>
        <v>1392484</v>
      </c>
      <c r="N53" s="1">
        <f t="shared" si="1"/>
        <v>376.26046402000026</v>
      </c>
    </row>
  </sheetData>
  <mergeCells count="3">
    <mergeCell ref="F1:I1"/>
    <mergeCell ref="A48:A49"/>
    <mergeCell ref="A5:A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04B88-C231-E54A-B60F-6043C330FDE2}">
  <dimension ref="A1:AC55"/>
  <sheetViews>
    <sheetView tabSelected="1" zoomScaleNormal="100" workbookViewId="0">
      <selection sqref="A1:U55"/>
    </sheetView>
  </sheetViews>
  <sheetFormatPr defaultColWidth="8.6640625" defaultRowHeight="14.4" x14ac:dyDescent="0.3"/>
  <cols>
    <col min="1" max="1" width="12.5546875" style="13" customWidth="1"/>
    <col min="2" max="2" width="8" style="4" bestFit="1" customWidth="1"/>
    <col min="3" max="4" width="15.5546875" style="4" customWidth="1"/>
    <col min="5" max="5" width="8.6640625" style="4" bestFit="1" customWidth="1"/>
    <col min="6" max="8" width="4.6640625" style="4" bestFit="1" customWidth="1"/>
    <col min="9" max="9" width="5.6640625" style="4" bestFit="1" customWidth="1"/>
    <col min="10" max="10" width="8" style="4" bestFit="1" customWidth="1"/>
    <col min="11" max="11" width="15.88671875" style="4" hidden="1" customWidth="1"/>
    <col min="12" max="12" width="15.5546875" style="4" hidden="1" customWidth="1"/>
    <col min="13" max="13" width="8.6640625" style="4" bestFit="1" customWidth="1"/>
    <col min="14" max="16" width="4.6640625" style="4" bestFit="1" customWidth="1"/>
    <col min="17" max="17" width="5.6640625" style="4" bestFit="1" customWidth="1"/>
    <col min="18" max="18" width="22.44140625" style="13" customWidth="1"/>
    <col min="19" max="16384" width="8.6640625" style="4"/>
  </cols>
  <sheetData>
    <row r="1" spans="1:29" ht="15" thickBot="1" x14ac:dyDescent="0.35"/>
    <row r="2" spans="1:29" ht="15" thickBot="1" x14ac:dyDescent="0.35">
      <c r="B2" s="5" t="s">
        <v>1</v>
      </c>
      <c r="C2" s="2" t="s">
        <v>2</v>
      </c>
      <c r="D2" s="2" t="s">
        <v>3</v>
      </c>
      <c r="E2" s="2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5" t="s">
        <v>1</v>
      </c>
      <c r="K2" s="2" t="s">
        <v>2</v>
      </c>
      <c r="L2" s="2" t="s">
        <v>3</v>
      </c>
      <c r="M2" s="2" t="s">
        <v>4</v>
      </c>
      <c r="N2" s="10" t="s">
        <v>5</v>
      </c>
      <c r="O2" s="10" t="s">
        <v>6</v>
      </c>
      <c r="P2" s="10" t="s">
        <v>7</v>
      </c>
      <c r="Q2" s="10" t="s">
        <v>8</v>
      </c>
    </row>
    <row r="3" spans="1:29" x14ac:dyDescent="0.3">
      <c r="A3" s="16" t="s">
        <v>81</v>
      </c>
      <c r="B3" s="118" t="s">
        <v>13</v>
      </c>
      <c r="C3" s="18" t="s">
        <v>14</v>
      </c>
      <c r="D3" s="18" t="s">
        <v>15</v>
      </c>
      <c r="E3" s="18" t="s">
        <v>16</v>
      </c>
      <c r="F3" s="19">
        <v>2.2999999999999998</v>
      </c>
      <c r="G3" s="19">
        <v>1.1200000000000001</v>
      </c>
      <c r="H3" s="19">
        <v>1.62</v>
      </c>
      <c r="I3" s="20">
        <v>1.3580000000000001</v>
      </c>
      <c r="J3" s="17" t="s">
        <v>17</v>
      </c>
      <c r="K3" s="18" t="s">
        <v>14</v>
      </c>
      <c r="L3" s="18" t="s">
        <v>15</v>
      </c>
      <c r="M3" s="18" t="s">
        <v>16</v>
      </c>
      <c r="N3" s="19">
        <v>2.2999999999999998</v>
      </c>
      <c r="O3" s="19">
        <v>1.1200000000000001</v>
      </c>
      <c r="P3" s="19">
        <v>1.62</v>
      </c>
      <c r="Q3" s="21">
        <v>1.3580000000000001</v>
      </c>
      <c r="R3" s="16" t="s">
        <v>82</v>
      </c>
      <c r="S3" s="104">
        <f>I3+I4+Q3+Q4</f>
        <v>6.4779999999999998</v>
      </c>
    </row>
    <row r="4" spans="1:29" ht="15" thickBot="1" x14ac:dyDescent="0.35">
      <c r="A4" s="16" t="s">
        <v>81</v>
      </c>
      <c r="B4" s="22" t="s">
        <v>28</v>
      </c>
      <c r="C4" s="23" t="s">
        <v>14</v>
      </c>
      <c r="D4" s="23" t="s">
        <v>15</v>
      </c>
      <c r="E4" s="23" t="s">
        <v>29</v>
      </c>
      <c r="F4" s="24">
        <v>3.38</v>
      </c>
      <c r="G4" s="24">
        <v>1.17</v>
      </c>
      <c r="H4" s="24">
        <v>1.85</v>
      </c>
      <c r="I4" s="25">
        <v>1.881</v>
      </c>
      <c r="J4" s="26" t="s">
        <v>30</v>
      </c>
      <c r="K4" s="23" t="s">
        <v>14</v>
      </c>
      <c r="L4" s="23" t="s">
        <v>15</v>
      </c>
      <c r="M4" s="23" t="s">
        <v>29</v>
      </c>
      <c r="N4" s="24">
        <v>3.38</v>
      </c>
      <c r="O4" s="24">
        <v>1.17</v>
      </c>
      <c r="P4" s="24">
        <v>1.85</v>
      </c>
      <c r="Q4" s="27">
        <v>1.881</v>
      </c>
      <c r="R4" s="16" t="s">
        <v>82</v>
      </c>
    </row>
    <row r="5" spans="1:29" x14ac:dyDescent="0.3">
      <c r="A5" s="16" t="s">
        <v>81</v>
      </c>
      <c r="B5" s="28" t="s">
        <v>20</v>
      </c>
      <c r="C5" s="29" t="s">
        <v>14</v>
      </c>
      <c r="D5" s="29" t="s">
        <v>15</v>
      </c>
      <c r="E5" s="29" t="s">
        <v>21</v>
      </c>
      <c r="F5" s="30">
        <v>2.77</v>
      </c>
      <c r="G5" s="30">
        <v>1.1200000000000001</v>
      </c>
      <c r="H5" s="30">
        <v>1.63</v>
      </c>
      <c r="I5" s="31">
        <v>1.51</v>
      </c>
      <c r="J5" s="28" t="s">
        <v>22</v>
      </c>
      <c r="K5" s="29" t="s">
        <v>14</v>
      </c>
      <c r="L5" s="29" t="s">
        <v>15</v>
      </c>
      <c r="M5" s="29" t="s">
        <v>21</v>
      </c>
      <c r="N5" s="30">
        <v>2.77</v>
      </c>
      <c r="O5" s="30">
        <v>1.1200000000000001</v>
      </c>
      <c r="P5" s="30">
        <v>1.63</v>
      </c>
      <c r="Q5" s="32">
        <v>1.51</v>
      </c>
      <c r="R5" s="16" t="s">
        <v>83</v>
      </c>
      <c r="S5" s="104">
        <f>I5+I6+I7+I8+Q5+Q6+Q7+Q8</f>
        <v>11.565000000000001</v>
      </c>
    </row>
    <row r="6" spans="1:29" x14ac:dyDescent="0.3">
      <c r="A6" s="16" t="s">
        <v>81</v>
      </c>
      <c r="B6" s="33" t="s">
        <v>23</v>
      </c>
      <c r="C6" s="34" t="s">
        <v>14</v>
      </c>
      <c r="D6" s="34" t="s">
        <v>15</v>
      </c>
      <c r="E6" s="34" t="s">
        <v>24</v>
      </c>
      <c r="F6" s="9">
        <v>2.8</v>
      </c>
      <c r="G6" s="9">
        <v>1.05</v>
      </c>
      <c r="H6" s="9">
        <v>1.68</v>
      </c>
      <c r="I6" s="35">
        <v>1.196</v>
      </c>
      <c r="J6" s="33" t="s">
        <v>25</v>
      </c>
      <c r="K6" s="34" t="s">
        <v>14</v>
      </c>
      <c r="L6" s="34" t="s">
        <v>15</v>
      </c>
      <c r="M6" s="34" t="s">
        <v>24</v>
      </c>
      <c r="N6" s="9">
        <v>2.8</v>
      </c>
      <c r="O6" s="9">
        <v>1.05</v>
      </c>
      <c r="P6" s="9">
        <v>1.68</v>
      </c>
      <c r="Q6" s="36">
        <v>1.196</v>
      </c>
      <c r="R6" s="16" t="s">
        <v>83</v>
      </c>
    </row>
    <row r="7" spans="1:29" x14ac:dyDescent="0.3">
      <c r="A7" s="16" t="s">
        <v>81</v>
      </c>
      <c r="B7" s="33" t="s">
        <v>26</v>
      </c>
      <c r="C7" s="34" t="s">
        <v>14</v>
      </c>
      <c r="D7" s="34" t="s">
        <v>15</v>
      </c>
      <c r="E7" s="34" t="s">
        <v>24</v>
      </c>
      <c r="F7" s="9">
        <v>2.8</v>
      </c>
      <c r="G7" s="9">
        <v>1.05</v>
      </c>
      <c r="H7" s="9">
        <v>1.68</v>
      </c>
      <c r="I7" s="35">
        <v>1.196</v>
      </c>
      <c r="J7" s="33" t="s">
        <v>27</v>
      </c>
      <c r="K7" s="34" t="s">
        <v>14</v>
      </c>
      <c r="L7" s="34" t="s">
        <v>15</v>
      </c>
      <c r="M7" s="34" t="s">
        <v>24</v>
      </c>
      <c r="N7" s="9">
        <v>2.8</v>
      </c>
      <c r="O7" s="9">
        <v>1.05</v>
      </c>
      <c r="P7" s="9">
        <v>1.68</v>
      </c>
      <c r="Q7" s="36">
        <v>1.196</v>
      </c>
      <c r="R7" s="16" t="s">
        <v>83</v>
      </c>
    </row>
    <row r="8" spans="1:29" ht="15" thickBot="1" x14ac:dyDescent="0.35">
      <c r="A8" s="16" t="s">
        <v>81</v>
      </c>
      <c r="B8" s="22" t="s">
        <v>31</v>
      </c>
      <c r="C8" s="23" t="s">
        <v>14</v>
      </c>
      <c r="D8" s="23" t="s">
        <v>15</v>
      </c>
      <c r="E8" s="23" t="s">
        <v>29</v>
      </c>
      <c r="F8" s="24">
        <v>3.38</v>
      </c>
      <c r="G8" s="24">
        <v>1.17</v>
      </c>
      <c r="H8" s="24">
        <v>1.85</v>
      </c>
      <c r="I8" s="25">
        <v>1.881</v>
      </c>
      <c r="J8" s="22" t="s">
        <v>35</v>
      </c>
      <c r="K8" s="23" t="s">
        <v>14</v>
      </c>
      <c r="L8" s="23" t="s">
        <v>15</v>
      </c>
      <c r="M8" s="23" t="s">
        <v>36</v>
      </c>
      <c r="N8" s="24">
        <v>3.38</v>
      </c>
      <c r="O8" s="24">
        <v>1.17</v>
      </c>
      <c r="P8" s="24">
        <v>1.85</v>
      </c>
      <c r="Q8" s="27">
        <v>1.88</v>
      </c>
      <c r="R8" s="16" t="s">
        <v>83</v>
      </c>
    </row>
    <row r="10" spans="1:29" ht="15" thickBot="1" x14ac:dyDescent="0.35"/>
    <row r="11" spans="1:29" ht="15" thickBot="1" x14ac:dyDescent="0.35">
      <c r="B11" s="5" t="s">
        <v>1</v>
      </c>
      <c r="C11" s="2" t="s">
        <v>2</v>
      </c>
      <c r="D11" s="2" t="s">
        <v>3</v>
      </c>
      <c r="E11" s="2" t="s">
        <v>4</v>
      </c>
      <c r="F11" s="10" t="s">
        <v>5</v>
      </c>
      <c r="G11" s="10" t="s">
        <v>6</v>
      </c>
      <c r="H11" s="10" t="s">
        <v>7</v>
      </c>
      <c r="I11" s="10" t="s">
        <v>8</v>
      </c>
      <c r="J11" s="5" t="s">
        <v>1</v>
      </c>
      <c r="K11" s="2" t="s">
        <v>2</v>
      </c>
      <c r="L11" s="2" t="s">
        <v>3</v>
      </c>
      <c r="M11" s="2" t="s">
        <v>4</v>
      </c>
      <c r="N11" s="10" t="s">
        <v>5</v>
      </c>
      <c r="O11" s="10" t="s">
        <v>6</v>
      </c>
      <c r="P11" s="10" t="s">
        <v>7</v>
      </c>
      <c r="Q11" s="10" t="s">
        <v>8</v>
      </c>
    </row>
    <row r="12" spans="1:29" x14ac:dyDescent="0.3">
      <c r="A12" s="37" t="s">
        <v>84</v>
      </c>
      <c r="B12" s="38" t="s">
        <v>18</v>
      </c>
      <c r="C12" s="39" t="s">
        <v>14</v>
      </c>
      <c r="D12" s="39" t="s">
        <v>15</v>
      </c>
      <c r="E12" s="39" t="s">
        <v>16</v>
      </c>
      <c r="F12" s="40">
        <v>2.2999999999999998</v>
      </c>
      <c r="G12" s="40">
        <v>1.1200000000000001</v>
      </c>
      <c r="H12" s="40">
        <v>1.62</v>
      </c>
      <c r="I12" s="41">
        <v>1.3580000000000001</v>
      </c>
      <c r="J12" s="38" t="s">
        <v>19</v>
      </c>
      <c r="K12" s="39" t="s">
        <v>14</v>
      </c>
      <c r="L12" s="39" t="s">
        <v>15</v>
      </c>
      <c r="M12" s="39" t="s">
        <v>16</v>
      </c>
      <c r="N12" s="40">
        <v>2.2999999999999998</v>
      </c>
      <c r="O12" s="40">
        <v>1.1200000000000001</v>
      </c>
      <c r="P12" s="40">
        <v>1.62</v>
      </c>
      <c r="Q12" s="41">
        <v>1.3580000000000001</v>
      </c>
      <c r="R12" s="37" t="s">
        <v>82</v>
      </c>
      <c r="S12" s="104">
        <f>I12+I13+Q12+Q13</f>
        <v>6.476</v>
      </c>
    </row>
    <row r="13" spans="1:29" ht="15" thickBot="1" x14ac:dyDescent="0.35">
      <c r="A13" s="37" t="s">
        <v>84</v>
      </c>
      <c r="B13" s="42" t="s">
        <v>37</v>
      </c>
      <c r="C13" s="43" t="s">
        <v>14</v>
      </c>
      <c r="D13" s="43" t="s">
        <v>15</v>
      </c>
      <c r="E13" s="43" t="s">
        <v>36</v>
      </c>
      <c r="F13" s="44">
        <v>3.38</v>
      </c>
      <c r="G13" s="44">
        <v>1.17</v>
      </c>
      <c r="H13" s="44">
        <v>1.85</v>
      </c>
      <c r="I13" s="45">
        <v>1.88</v>
      </c>
      <c r="J13" s="42" t="s">
        <v>38</v>
      </c>
      <c r="K13" s="43" t="s">
        <v>14</v>
      </c>
      <c r="L13" s="43" t="s">
        <v>15</v>
      </c>
      <c r="M13" s="43" t="s">
        <v>36</v>
      </c>
      <c r="N13" s="44">
        <v>3.38</v>
      </c>
      <c r="O13" s="44">
        <v>1.17</v>
      </c>
      <c r="P13" s="44">
        <v>1.85</v>
      </c>
      <c r="Q13" s="45">
        <v>1.88</v>
      </c>
      <c r="R13" s="37" t="s">
        <v>82</v>
      </c>
    </row>
    <row r="14" spans="1:29" ht="15" thickBot="1" x14ac:dyDescent="0.35">
      <c r="A14" s="146" t="s">
        <v>84</v>
      </c>
      <c r="B14" s="145" t="s">
        <v>34</v>
      </c>
      <c r="C14" s="46" t="s">
        <v>14</v>
      </c>
      <c r="D14" s="46" t="s">
        <v>15</v>
      </c>
      <c r="E14" s="46" t="s">
        <v>33</v>
      </c>
      <c r="F14" s="47">
        <v>4</v>
      </c>
      <c r="G14" s="47">
        <v>1.46</v>
      </c>
      <c r="H14" s="47">
        <v>2.12</v>
      </c>
      <c r="I14" s="48">
        <v>2.8</v>
      </c>
      <c r="R14" s="37" t="s">
        <v>83</v>
      </c>
      <c r="S14" s="104">
        <f>AC15+I15+I16+I17+I18+I19+I14</f>
        <v>14.227</v>
      </c>
      <c r="Z14" s="4" t="s">
        <v>5</v>
      </c>
      <c r="AA14" s="4" t="s">
        <v>6</v>
      </c>
      <c r="AB14" s="4" t="s">
        <v>7</v>
      </c>
      <c r="AC14" s="4" t="s">
        <v>85</v>
      </c>
    </row>
    <row r="15" spans="1:29" ht="15" thickBot="1" x14ac:dyDescent="0.35">
      <c r="A15" s="37" t="s">
        <v>84</v>
      </c>
      <c r="B15" s="6" t="s">
        <v>45</v>
      </c>
      <c r="C15" s="49" t="s">
        <v>14</v>
      </c>
      <c r="D15" s="49" t="s">
        <v>15</v>
      </c>
      <c r="E15" s="49" t="s">
        <v>46</v>
      </c>
      <c r="F15" s="50">
        <v>0.96</v>
      </c>
      <c r="G15" s="50">
        <v>2.33</v>
      </c>
      <c r="H15" s="50">
        <v>1.5</v>
      </c>
      <c r="I15" s="51">
        <v>0.98</v>
      </c>
      <c r="J15" s="52"/>
      <c r="K15" s="52"/>
      <c r="L15" s="52"/>
      <c r="M15" s="52"/>
      <c r="N15" s="52"/>
      <c r="O15" s="52"/>
      <c r="P15" s="52"/>
      <c r="Q15" s="52"/>
      <c r="R15" s="37" t="s">
        <v>83</v>
      </c>
      <c r="V15" s="148" t="s">
        <v>32</v>
      </c>
      <c r="W15" s="149" t="s">
        <v>14</v>
      </c>
      <c r="X15" s="149" t="s">
        <v>15</v>
      </c>
      <c r="Y15" s="147" t="s">
        <v>33</v>
      </c>
      <c r="Z15" s="150">
        <v>4</v>
      </c>
      <c r="AA15" s="150">
        <v>1.46</v>
      </c>
      <c r="AB15" s="150">
        <v>2.12</v>
      </c>
      <c r="AC15" s="151">
        <v>2.8</v>
      </c>
    </row>
    <row r="16" spans="1:29" x14ac:dyDescent="0.3">
      <c r="A16" s="37" t="s">
        <v>84</v>
      </c>
      <c r="B16" s="6" t="s">
        <v>47</v>
      </c>
      <c r="C16" s="49" t="s">
        <v>14</v>
      </c>
      <c r="D16" s="49" t="s">
        <v>15</v>
      </c>
      <c r="E16" s="49" t="s">
        <v>46</v>
      </c>
      <c r="F16" s="50">
        <v>0.96</v>
      </c>
      <c r="G16" s="50">
        <v>2.33</v>
      </c>
      <c r="H16" s="50">
        <v>1.5</v>
      </c>
      <c r="I16" s="51">
        <v>0.98</v>
      </c>
      <c r="J16" s="52"/>
      <c r="K16" s="52"/>
      <c r="L16" s="52"/>
      <c r="M16" s="52"/>
      <c r="N16" s="52"/>
      <c r="O16" s="52"/>
      <c r="P16" s="52"/>
      <c r="Q16" s="52"/>
      <c r="R16" s="37" t="s">
        <v>83</v>
      </c>
    </row>
    <row r="17" spans="1:19" x14ac:dyDescent="0.3">
      <c r="A17" s="37" t="s">
        <v>84</v>
      </c>
      <c r="B17" s="6" t="s">
        <v>48</v>
      </c>
      <c r="C17" s="49" t="s">
        <v>14</v>
      </c>
      <c r="D17" s="49" t="s">
        <v>15</v>
      </c>
      <c r="E17" s="49" t="s">
        <v>46</v>
      </c>
      <c r="F17" s="50">
        <v>0.96</v>
      </c>
      <c r="G17" s="50">
        <v>2.33</v>
      </c>
      <c r="H17" s="50">
        <v>1.5</v>
      </c>
      <c r="I17" s="51">
        <v>0.98</v>
      </c>
      <c r="J17" s="52"/>
      <c r="K17" s="52"/>
      <c r="L17" s="52"/>
      <c r="M17" s="52"/>
      <c r="N17" s="52"/>
      <c r="O17" s="52"/>
      <c r="P17" s="52"/>
      <c r="Q17" s="52"/>
      <c r="R17" s="37" t="s">
        <v>83</v>
      </c>
    </row>
    <row r="18" spans="1:19" x14ac:dyDescent="0.3">
      <c r="A18" s="37" t="s">
        <v>84</v>
      </c>
      <c r="B18" s="6" t="s">
        <v>49</v>
      </c>
      <c r="C18" s="49" t="s">
        <v>14</v>
      </c>
      <c r="D18" s="49" t="s">
        <v>15</v>
      </c>
      <c r="E18" s="49" t="s">
        <v>46</v>
      </c>
      <c r="F18" s="50">
        <v>0.96</v>
      </c>
      <c r="G18" s="50">
        <v>2.33</v>
      </c>
      <c r="H18" s="50">
        <v>1.5</v>
      </c>
      <c r="I18" s="51">
        <v>0.98</v>
      </c>
      <c r="J18" s="52"/>
      <c r="K18" s="52"/>
      <c r="L18" s="52"/>
      <c r="M18" s="52"/>
      <c r="N18" s="52"/>
      <c r="O18" s="52"/>
      <c r="P18" s="52"/>
      <c r="Q18" s="52"/>
      <c r="R18" s="37" t="s">
        <v>83</v>
      </c>
    </row>
    <row r="19" spans="1:19" ht="15" thickBot="1" x14ac:dyDescent="0.35">
      <c r="A19" s="37" t="s">
        <v>84</v>
      </c>
      <c r="B19" s="42" t="s">
        <v>75</v>
      </c>
      <c r="C19" s="43" t="s">
        <v>14</v>
      </c>
      <c r="D19" s="43" t="s">
        <v>15</v>
      </c>
      <c r="E19" s="43" t="s">
        <v>62</v>
      </c>
      <c r="F19" s="44">
        <v>4.93</v>
      </c>
      <c r="G19" s="44">
        <v>1.66</v>
      </c>
      <c r="H19" s="44">
        <v>2.3199999999999998</v>
      </c>
      <c r="I19" s="45">
        <v>4.7069999999999999</v>
      </c>
      <c r="J19" s="52"/>
      <c r="K19" s="52"/>
      <c r="L19" s="52"/>
      <c r="M19" s="52"/>
      <c r="N19" s="52"/>
      <c r="O19" s="52"/>
      <c r="P19" s="52"/>
      <c r="Q19" s="52"/>
      <c r="R19" s="37" t="s">
        <v>83</v>
      </c>
    </row>
    <row r="20" spans="1:19" x14ac:dyDescent="0.3">
      <c r="B20" s="7"/>
      <c r="C20" s="8"/>
      <c r="D20" s="8"/>
      <c r="E20" s="8"/>
      <c r="F20" s="14"/>
      <c r="G20" s="14"/>
      <c r="H20" s="14"/>
      <c r="I20" s="15"/>
    </row>
    <row r="21" spans="1:19" ht="15" thickBot="1" x14ac:dyDescent="0.35"/>
    <row r="22" spans="1:19" ht="15" thickBot="1" x14ac:dyDescent="0.35">
      <c r="B22" s="5" t="s">
        <v>1</v>
      </c>
      <c r="C22" s="2" t="s">
        <v>2</v>
      </c>
      <c r="D22" s="2" t="s">
        <v>3</v>
      </c>
      <c r="E22" s="2" t="s">
        <v>4</v>
      </c>
      <c r="F22" s="10" t="s">
        <v>5</v>
      </c>
      <c r="G22" s="10" t="s">
        <v>6</v>
      </c>
      <c r="H22" s="10" t="s">
        <v>7</v>
      </c>
      <c r="I22" s="10" t="s">
        <v>8</v>
      </c>
      <c r="J22" s="11" t="s">
        <v>1</v>
      </c>
      <c r="K22" s="12" t="s">
        <v>2</v>
      </c>
      <c r="L22" s="12" t="s">
        <v>3</v>
      </c>
      <c r="M22" s="12" t="s">
        <v>4</v>
      </c>
      <c r="N22" s="3" t="s">
        <v>5</v>
      </c>
      <c r="O22" s="3" t="s">
        <v>6</v>
      </c>
      <c r="P22" s="3" t="s">
        <v>7</v>
      </c>
      <c r="Q22" s="3" t="s">
        <v>8</v>
      </c>
    </row>
    <row r="23" spans="1:19" ht="15" thickBot="1" x14ac:dyDescent="0.35">
      <c r="A23" s="53" t="s">
        <v>86</v>
      </c>
      <c r="B23" s="54" t="s">
        <v>50</v>
      </c>
      <c r="C23" s="55" t="s">
        <v>14</v>
      </c>
      <c r="D23" s="55" t="s">
        <v>15</v>
      </c>
      <c r="E23" s="55" t="s">
        <v>51</v>
      </c>
      <c r="F23" s="56">
        <v>5.5720000000000001</v>
      </c>
      <c r="G23" s="56">
        <v>2.17</v>
      </c>
      <c r="H23" s="56">
        <v>2.3980000000000001</v>
      </c>
      <c r="I23" s="57">
        <v>6.69</v>
      </c>
      <c r="J23" s="58"/>
      <c r="K23" s="58"/>
      <c r="L23" s="58"/>
      <c r="M23" s="58"/>
      <c r="N23" s="58"/>
      <c r="O23" s="58"/>
      <c r="P23" s="58"/>
      <c r="Q23" s="58"/>
      <c r="R23" s="53" t="s">
        <v>82</v>
      </c>
      <c r="S23" s="104">
        <f>I23</f>
        <v>6.69</v>
      </c>
    </row>
    <row r="24" spans="1:19" x14ac:dyDescent="0.3">
      <c r="A24" s="53" t="s">
        <v>86</v>
      </c>
      <c r="B24" s="152" t="s">
        <v>42</v>
      </c>
      <c r="C24" s="154" t="s">
        <v>14</v>
      </c>
      <c r="D24" s="154" t="s">
        <v>15</v>
      </c>
      <c r="E24" s="154" t="s">
        <v>43</v>
      </c>
      <c r="F24" s="156">
        <v>4.7699999999999996</v>
      </c>
      <c r="G24" s="156">
        <v>1.63</v>
      </c>
      <c r="H24" s="156">
        <v>2.36</v>
      </c>
      <c r="I24" s="158">
        <v>3.8079999999999998</v>
      </c>
      <c r="J24" s="59" t="s">
        <v>55</v>
      </c>
      <c r="K24" s="60" t="s">
        <v>14</v>
      </c>
      <c r="L24" s="60" t="s">
        <v>15</v>
      </c>
      <c r="M24" s="60" t="s">
        <v>56</v>
      </c>
      <c r="N24" s="61">
        <v>2</v>
      </c>
      <c r="O24" s="61">
        <v>0.92</v>
      </c>
      <c r="P24" s="61">
        <v>1.44</v>
      </c>
      <c r="Q24" s="62">
        <v>0.83799999999999997</v>
      </c>
      <c r="R24" s="53" t="s">
        <v>83</v>
      </c>
      <c r="S24" s="104">
        <f>I24+I26+I28+Q24+Q25+Q26+Q27+Q28</f>
        <v>12.721999999999998</v>
      </c>
    </row>
    <row r="25" spans="1:19" x14ac:dyDescent="0.3">
      <c r="A25" s="53" t="s">
        <v>86</v>
      </c>
      <c r="B25" s="153"/>
      <c r="C25" s="155"/>
      <c r="D25" s="155"/>
      <c r="E25" s="155"/>
      <c r="F25" s="157"/>
      <c r="G25" s="157"/>
      <c r="H25" s="157"/>
      <c r="I25" s="159"/>
      <c r="J25" s="65" t="s">
        <v>57</v>
      </c>
      <c r="K25" s="66" t="s">
        <v>14</v>
      </c>
      <c r="L25" s="66" t="s">
        <v>15</v>
      </c>
      <c r="M25" s="66" t="s">
        <v>56</v>
      </c>
      <c r="N25" s="63">
        <v>2</v>
      </c>
      <c r="O25" s="63">
        <v>0.92</v>
      </c>
      <c r="P25" s="63">
        <v>1.44</v>
      </c>
      <c r="Q25" s="64">
        <v>0.83799999999999997</v>
      </c>
      <c r="R25" s="53" t="s">
        <v>83</v>
      </c>
    </row>
    <row r="26" spans="1:19" x14ac:dyDescent="0.3">
      <c r="A26" s="53" t="s">
        <v>86</v>
      </c>
      <c r="B26" s="153" t="s">
        <v>44</v>
      </c>
      <c r="C26" s="155" t="s">
        <v>14</v>
      </c>
      <c r="D26" s="155" t="s">
        <v>15</v>
      </c>
      <c r="E26" s="155" t="s">
        <v>43</v>
      </c>
      <c r="F26" s="157">
        <v>4.7699999999999996</v>
      </c>
      <c r="G26" s="157">
        <v>1.63</v>
      </c>
      <c r="H26" s="157">
        <v>2.36</v>
      </c>
      <c r="I26" s="159">
        <v>3.8079999999999998</v>
      </c>
      <c r="J26" s="65" t="s">
        <v>58</v>
      </c>
      <c r="K26" s="66" t="s">
        <v>14</v>
      </c>
      <c r="L26" s="66" t="s">
        <v>15</v>
      </c>
      <c r="M26" s="66" t="s">
        <v>56</v>
      </c>
      <c r="N26" s="63">
        <v>2</v>
      </c>
      <c r="O26" s="63">
        <v>0.92</v>
      </c>
      <c r="P26" s="63">
        <v>1.44</v>
      </c>
      <c r="Q26" s="64">
        <v>0.83799999999999997</v>
      </c>
      <c r="R26" s="53" t="s">
        <v>83</v>
      </c>
    </row>
    <row r="27" spans="1:19" x14ac:dyDescent="0.3">
      <c r="A27" s="53" t="s">
        <v>86</v>
      </c>
      <c r="B27" s="153"/>
      <c r="C27" s="155"/>
      <c r="D27" s="155"/>
      <c r="E27" s="155"/>
      <c r="F27" s="157"/>
      <c r="G27" s="157"/>
      <c r="H27" s="157"/>
      <c r="I27" s="159"/>
      <c r="J27" s="65" t="s">
        <v>59</v>
      </c>
      <c r="K27" s="66" t="s">
        <v>14</v>
      </c>
      <c r="L27" s="66" t="s">
        <v>15</v>
      </c>
      <c r="M27" s="66" t="s">
        <v>56</v>
      </c>
      <c r="N27" s="63">
        <v>2</v>
      </c>
      <c r="O27" s="63">
        <v>0.92</v>
      </c>
      <c r="P27" s="63">
        <v>1.44</v>
      </c>
      <c r="Q27" s="64">
        <v>0.83799999999999997</v>
      </c>
      <c r="R27" s="53" t="s">
        <v>83</v>
      </c>
    </row>
    <row r="28" spans="1:19" ht="15" thickBot="1" x14ac:dyDescent="0.35">
      <c r="A28" s="53" t="s">
        <v>86</v>
      </c>
      <c r="B28" s="67" t="s">
        <v>69</v>
      </c>
      <c r="C28" s="68" t="s">
        <v>14</v>
      </c>
      <c r="D28" s="68" t="s">
        <v>15</v>
      </c>
      <c r="E28" s="68" t="s">
        <v>68</v>
      </c>
      <c r="F28" s="69">
        <v>2.33</v>
      </c>
      <c r="G28" s="69">
        <v>0.96</v>
      </c>
      <c r="H28" s="69">
        <v>1.5</v>
      </c>
      <c r="I28" s="70">
        <v>0.877</v>
      </c>
      <c r="J28" s="67" t="s">
        <v>70</v>
      </c>
      <c r="K28" s="68" t="s">
        <v>14</v>
      </c>
      <c r="L28" s="68" t="s">
        <v>15</v>
      </c>
      <c r="M28" s="68" t="s">
        <v>68</v>
      </c>
      <c r="N28" s="69">
        <v>2.33</v>
      </c>
      <c r="O28" s="69">
        <v>0.96</v>
      </c>
      <c r="P28" s="69">
        <v>1.5</v>
      </c>
      <c r="Q28" s="70">
        <v>0.877</v>
      </c>
      <c r="R28" s="53" t="s">
        <v>83</v>
      </c>
    </row>
    <row r="29" spans="1:19" x14ac:dyDescent="0.3">
      <c r="A29" s="53"/>
      <c r="B29" s="142"/>
      <c r="C29" s="142"/>
      <c r="D29" s="142"/>
      <c r="E29" s="142"/>
      <c r="F29" s="143"/>
      <c r="G29" s="143"/>
      <c r="H29" s="143"/>
      <c r="I29" s="144"/>
      <c r="J29" s="142"/>
      <c r="K29" s="142"/>
      <c r="L29" s="142"/>
      <c r="M29" s="142"/>
      <c r="N29" s="143"/>
      <c r="O29" s="143"/>
      <c r="P29" s="143"/>
      <c r="Q29" s="144"/>
      <c r="R29" s="53"/>
    </row>
    <row r="30" spans="1:19" x14ac:dyDescent="0.3">
      <c r="A30" s="53"/>
      <c r="B30" s="142"/>
      <c r="C30" s="142"/>
      <c r="D30" s="142"/>
      <c r="E30" s="142"/>
      <c r="F30" s="143"/>
      <c r="G30" s="143"/>
      <c r="H30" s="143"/>
      <c r="I30" s="144"/>
      <c r="J30" s="142"/>
      <c r="K30" s="142"/>
      <c r="L30" s="142"/>
      <c r="M30" s="142"/>
      <c r="N30" s="143"/>
      <c r="O30" s="143"/>
      <c r="P30" s="143"/>
      <c r="Q30" s="144"/>
      <c r="R30" s="53"/>
    </row>
    <row r="32" spans="1:19" ht="15" thickBot="1" x14ac:dyDescent="0.35"/>
    <row r="33" spans="1:19" ht="15" thickBot="1" x14ac:dyDescent="0.35">
      <c r="B33" s="5" t="s">
        <v>1</v>
      </c>
      <c r="C33" s="2" t="s">
        <v>2</v>
      </c>
      <c r="D33" s="2" t="s">
        <v>3</v>
      </c>
      <c r="E33" s="2" t="s">
        <v>4</v>
      </c>
      <c r="F33" s="10" t="s">
        <v>5</v>
      </c>
      <c r="G33" s="10" t="s">
        <v>6</v>
      </c>
      <c r="H33" s="10" t="s">
        <v>7</v>
      </c>
      <c r="I33" s="10" t="s">
        <v>8</v>
      </c>
      <c r="J33" s="11" t="s">
        <v>1</v>
      </c>
      <c r="K33" s="12" t="s">
        <v>2</v>
      </c>
      <c r="L33" s="12" t="s">
        <v>3</v>
      </c>
      <c r="M33" s="12" t="s">
        <v>4</v>
      </c>
      <c r="N33" s="3" t="s">
        <v>5</v>
      </c>
      <c r="O33" s="3" t="s">
        <v>6</v>
      </c>
      <c r="P33" s="3" t="s">
        <v>7</v>
      </c>
      <c r="Q33" s="3" t="s">
        <v>8</v>
      </c>
    </row>
    <row r="34" spans="1:19" ht="15" thickBot="1" x14ac:dyDescent="0.35">
      <c r="A34" s="71" t="s">
        <v>87</v>
      </c>
      <c r="B34" s="72" t="s">
        <v>52</v>
      </c>
      <c r="C34" s="73" t="s">
        <v>14</v>
      </c>
      <c r="D34" s="73" t="s">
        <v>15</v>
      </c>
      <c r="E34" s="73" t="s">
        <v>51</v>
      </c>
      <c r="F34" s="74">
        <v>5.5720000000000001</v>
      </c>
      <c r="G34" s="74">
        <v>2.17</v>
      </c>
      <c r="H34" s="74">
        <v>2.3980000000000001</v>
      </c>
      <c r="I34" s="75">
        <v>6.69</v>
      </c>
      <c r="J34" s="76"/>
      <c r="K34" s="76"/>
      <c r="L34" s="76"/>
      <c r="M34" s="76"/>
      <c r="N34" s="76"/>
      <c r="O34" s="76"/>
      <c r="P34" s="76"/>
      <c r="Q34" s="76"/>
      <c r="R34" s="71" t="s">
        <v>82</v>
      </c>
      <c r="S34" s="104">
        <f>I34</f>
        <v>6.69</v>
      </c>
    </row>
    <row r="35" spans="1:19" x14ac:dyDescent="0.3">
      <c r="A35" s="71" t="s">
        <v>87</v>
      </c>
      <c r="B35" s="164" t="s">
        <v>53</v>
      </c>
      <c r="C35" s="166" t="s">
        <v>14</v>
      </c>
      <c r="D35" s="166" t="s">
        <v>15</v>
      </c>
      <c r="E35" s="166" t="s">
        <v>54</v>
      </c>
      <c r="F35" s="160">
        <v>5.32</v>
      </c>
      <c r="G35" s="160">
        <v>1.92</v>
      </c>
      <c r="H35" s="160">
        <v>2.29</v>
      </c>
      <c r="I35" s="162">
        <v>5.952</v>
      </c>
      <c r="J35" s="77" t="s">
        <v>64</v>
      </c>
      <c r="K35" s="78" t="s">
        <v>14</v>
      </c>
      <c r="L35" s="78" t="s">
        <v>15</v>
      </c>
      <c r="M35" s="78" t="s">
        <v>65</v>
      </c>
      <c r="N35" s="79">
        <v>1.5</v>
      </c>
      <c r="O35" s="79">
        <v>0.62</v>
      </c>
      <c r="P35" s="79">
        <v>1.115</v>
      </c>
      <c r="Q35" s="80">
        <v>0.44700000000000001</v>
      </c>
      <c r="R35" s="71" t="s">
        <v>83</v>
      </c>
      <c r="S35" s="104">
        <f>I35+I37+I38+Q35+Q36+Q37+Q38</f>
        <v>11.317999999999998</v>
      </c>
    </row>
    <row r="36" spans="1:19" x14ac:dyDescent="0.3">
      <c r="A36" s="71" t="s">
        <v>87</v>
      </c>
      <c r="B36" s="165"/>
      <c r="C36" s="167"/>
      <c r="D36" s="167"/>
      <c r="E36" s="167"/>
      <c r="F36" s="161"/>
      <c r="G36" s="161"/>
      <c r="H36" s="161"/>
      <c r="I36" s="163"/>
      <c r="J36" s="83" t="s">
        <v>66</v>
      </c>
      <c r="K36" s="84" t="s">
        <v>14</v>
      </c>
      <c r="L36" s="84" t="s">
        <v>15</v>
      </c>
      <c r="M36" s="84" t="s">
        <v>65</v>
      </c>
      <c r="N36" s="81">
        <v>1.5</v>
      </c>
      <c r="O36" s="81">
        <v>0.62</v>
      </c>
      <c r="P36" s="81">
        <v>1.115</v>
      </c>
      <c r="Q36" s="82">
        <v>0.44700000000000001</v>
      </c>
      <c r="R36" s="71" t="s">
        <v>83</v>
      </c>
    </row>
    <row r="37" spans="1:19" x14ac:dyDescent="0.3">
      <c r="A37" s="71" t="s">
        <v>87</v>
      </c>
      <c r="B37" s="83" t="s">
        <v>39</v>
      </c>
      <c r="C37" s="84" t="s">
        <v>14</v>
      </c>
      <c r="D37" s="84" t="s">
        <v>15</v>
      </c>
      <c r="E37" s="84" t="s">
        <v>36</v>
      </c>
      <c r="F37" s="81">
        <v>3.38</v>
      </c>
      <c r="G37" s="81">
        <v>1.17</v>
      </c>
      <c r="H37" s="81">
        <v>1.85</v>
      </c>
      <c r="I37" s="82">
        <v>1.88</v>
      </c>
      <c r="J37" s="83" t="s">
        <v>60</v>
      </c>
      <c r="K37" s="84" t="s">
        <v>14</v>
      </c>
      <c r="L37" s="84" t="s">
        <v>15</v>
      </c>
      <c r="M37" s="84" t="s">
        <v>56</v>
      </c>
      <c r="N37" s="81">
        <v>2</v>
      </c>
      <c r="O37" s="81">
        <v>0.92</v>
      </c>
      <c r="P37" s="81">
        <v>1.44</v>
      </c>
      <c r="Q37" s="82">
        <v>0.83799999999999997</v>
      </c>
      <c r="R37" s="71" t="s">
        <v>83</v>
      </c>
    </row>
    <row r="38" spans="1:19" ht="15" thickBot="1" x14ac:dyDescent="0.35">
      <c r="A38" s="71" t="s">
        <v>87</v>
      </c>
      <c r="B38" s="85" t="s">
        <v>67</v>
      </c>
      <c r="C38" s="86" t="s">
        <v>14</v>
      </c>
      <c r="D38" s="86" t="s">
        <v>15</v>
      </c>
      <c r="E38" s="86" t="s">
        <v>68</v>
      </c>
      <c r="F38" s="87">
        <v>2.33</v>
      </c>
      <c r="G38" s="87">
        <v>0.96</v>
      </c>
      <c r="H38" s="87">
        <v>1.5</v>
      </c>
      <c r="I38" s="88">
        <v>0.877</v>
      </c>
      <c r="J38" s="85" t="s">
        <v>76</v>
      </c>
      <c r="K38" s="86" t="s">
        <v>14</v>
      </c>
      <c r="L38" s="86" t="s">
        <v>15</v>
      </c>
      <c r="M38" s="86" t="s">
        <v>68</v>
      </c>
      <c r="N38" s="87">
        <v>2.33</v>
      </c>
      <c r="O38" s="87">
        <v>0.96</v>
      </c>
      <c r="P38" s="87">
        <v>1.5</v>
      </c>
      <c r="Q38" s="88">
        <v>0.877</v>
      </c>
      <c r="R38" s="71" t="s">
        <v>83</v>
      </c>
    </row>
    <row r="40" spans="1:19" ht="15" thickBot="1" x14ac:dyDescent="0.35"/>
    <row r="41" spans="1:19" ht="15" thickBot="1" x14ac:dyDescent="0.35">
      <c r="B41" s="11" t="s">
        <v>1</v>
      </c>
      <c r="C41" s="12" t="s">
        <v>2</v>
      </c>
      <c r="D41" s="12" t="s">
        <v>3</v>
      </c>
      <c r="E41" s="12" t="s">
        <v>4</v>
      </c>
      <c r="F41" s="3" t="s">
        <v>5</v>
      </c>
      <c r="G41" s="3" t="s">
        <v>6</v>
      </c>
      <c r="H41" s="3" t="s">
        <v>7</v>
      </c>
      <c r="I41" s="3" t="s">
        <v>8</v>
      </c>
      <c r="J41" s="11" t="s">
        <v>1</v>
      </c>
      <c r="K41" s="12" t="s">
        <v>2</v>
      </c>
      <c r="L41" s="12" t="s">
        <v>3</v>
      </c>
      <c r="M41" s="12" t="s">
        <v>4</v>
      </c>
      <c r="N41" s="3" t="s">
        <v>5</v>
      </c>
      <c r="O41" s="3" t="s">
        <v>6</v>
      </c>
      <c r="P41" s="3" t="s">
        <v>7</v>
      </c>
      <c r="Q41" s="3" t="s">
        <v>8</v>
      </c>
    </row>
    <row r="42" spans="1:19" x14ac:dyDescent="0.3">
      <c r="A42" s="89" t="s">
        <v>88</v>
      </c>
      <c r="B42" s="90" t="s">
        <v>63</v>
      </c>
      <c r="C42" s="91" t="s">
        <v>14</v>
      </c>
      <c r="D42" s="91" t="s">
        <v>15</v>
      </c>
      <c r="E42" s="91" t="s">
        <v>56</v>
      </c>
      <c r="F42" s="92">
        <v>0.92</v>
      </c>
      <c r="G42" s="92">
        <v>2</v>
      </c>
      <c r="H42" s="92">
        <v>1.44</v>
      </c>
      <c r="I42" s="93">
        <v>0.83699999999999997</v>
      </c>
      <c r="J42" s="116"/>
      <c r="K42" s="116"/>
      <c r="L42" s="116"/>
      <c r="M42" s="116"/>
      <c r="N42" s="116"/>
      <c r="O42" s="116"/>
      <c r="P42" s="116"/>
      <c r="Q42" s="116"/>
      <c r="R42" s="89" t="s">
        <v>82</v>
      </c>
      <c r="S42" s="104">
        <f>I43+I42</f>
        <v>5.5439999999999996</v>
      </c>
    </row>
    <row r="43" spans="1:19" ht="15" thickBot="1" x14ac:dyDescent="0.35">
      <c r="A43" s="89" t="s">
        <v>88</v>
      </c>
      <c r="B43" s="117" t="s">
        <v>61</v>
      </c>
      <c r="C43" s="112" t="s">
        <v>14</v>
      </c>
      <c r="D43" s="112" t="s">
        <v>15</v>
      </c>
      <c r="E43" s="112" t="s">
        <v>62</v>
      </c>
      <c r="F43" s="113">
        <v>4.93</v>
      </c>
      <c r="G43" s="113">
        <v>1.66</v>
      </c>
      <c r="H43" s="113">
        <v>2.3199999999999998</v>
      </c>
      <c r="I43" s="114">
        <v>4.7069999999999999</v>
      </c>
      <c r="J43" s="115"/>
      <c r="K43" s="115"/>
      <c r="L43" s="115"/>
      <c r="M43" s="115"/>
      <c r="N43" s="115"/>
      <c r="O43" s="115"/>
      <c r="P43" s="115"/>
      <c r="Q43" s="115"/>
      <c r="R43" s="89" t="s">
        <v>82</v>
      </c>
    </row>
    <row r="44" spans="1:19" x14ac:dyDescent="0.3">
      <c r="A44" s="89" t="s">
        <v>88</v>
      </c>
      <c r="B44" s="118" t="s">
        <v>74</v>
      </c>
      <c r="C44" s="91" t="s">
        <v>14</v>
      </c>
      <c r="D44" s="91" t="s">
        <v>15</v>
      </c>
      <c r="E44" s="91" t="s">
        <v>62</v>
      </c>
      <c r="F44" s="92">
        <v>4.93</v>
      </c>
      <c r="G44" s="92">
        <v>1.66</v>
      </c>
      <c r="H44" s="92">
        <v>2.3199999999999998</v>
      </c>
      <c r="I44" s="93">
        <v>4.7069999999999999</v>
      </c>
      <c r="J44" s="115"/>
      <c r="K44" s="115"/>
      <c r="L44" s="115"/>
      <c r="M44" s="115"/>
      <c r="N44" s="115"/>
      <c r="O44" s="115"/>
      <c r="P44" s="115"/>
      <c r="Q44" s="115"/>
      <c r="R44" s="89" t="s">
        <v>83</v>
      </c>
      <c r="S44" s="104">
        <f>I45+I47+I46+I48+I44</f>
        <v>8.4209999999999994</v>
      </c>
    </row>
    <row r="45" spans="1:19" x14ac:dyDescent="0.3">
      <c r="A45" s="89" t="s">
        <v>88</v>
      </c>
      <c r="B45" s="110" t="s">
        <v>77</v>
      </c>
      <c r="C45" s="108" t="s">
        <v>14</v>
      </c>
      <c r="D45" s="108" t="s">
        <v>15</v>
      </c>
      <c r="E45" s="108" t="s">
        <v>68</v>
      </c>
      <c r="F45" s="109">
        <v>0.96</v>
      </c>
      <c r="G45" s="109">
        <v>2.33</v>
      </c>
      <c r="H45" s="109">
        <v>1.5</v>
      </c>
      <c r="I45" s="111">
        <v>0.877</v>
      </c>
      <c r="J45" s="115"/>
      <c r="K45" s="115"/>
      <c r="L45" s="115"/>
      <c r="M45" s="115"/>
      <c r="N45" s="115"/>
      <c r="O45" s="115"/>
      <c r="P45" s="115"/>
      <c r="Q45" s="115"/>
      <c r="R45" s="89" t="s">
        <v>83</v>
      </c>
    </row>
    <row r="46" spans="1:19" x14ac:dyDescent="0.3">
      <c r="A46" s="89" t="s">
        <v>88</v>
      </c>
      <c r="B46" s="110" t="s">
        <v>78</v>
      </c>
      <c r="C46" s="108" t="s">
        <v>14</v>
      </c>
      <c r="D46" s="108" t="s">
        <v>15</v>
      </c>
      <c r="E46" s="108" t="s">
        <v>68</v>
      </c>
      <c r="F46" s="109">
        <v>0.96</v>
      </c>
      <c r="G46" s="109">
        <v>2.33</v>
      </c>
      <c r="H46" s="109">
        <v>1.5</v>
      </c>
      <c r="I46" s="111">
        <v>0.877</v>
      </c>
      <c r="J46" s="105"/>
      <c r="K46" s="105"/>
      <c r="L46" s="105"/>
      <c r="M46" s="105"/>
      <c r="N46" s="106"/>
      <c r="O46" s="106"/>
      <c r="P46" s="106"/>
      <c r="Q46" s="107"/>
      <c r="R46" s="89" t="s">
        <v>83</v>
      </c>
      <c r="S46" s="104"/>
    </row>
    <row r="47" spans="1:19" x14ac:dyDescent="0.3">
      <c r="A47" s="89" t="s">
        <v>88</v>
      </c>
      <c r="B47" s="110" t="s">
        <v>79</v>
      </c>
      <c r="C47" s="108" t="s">
        <v>14</v>
      </c>
      <c r="D47" s="108" t="s">
        <v>15</v>
      </c>
      <c r="E47" s="108" t="s">
        <v>46</v>
      </c>
      <c r="F47" s="109">
        <v>0.96</v>
      </c>
      <c r="G47" s="109">
        <v>2.33</v>
      </c>
      <c r="H47" s="109">
        <v>1.5</v>
      </c>
      <c r="I47" s="111">
        <v>0.98</v>
      </c>
      <c r="J47" s="115"/>
      <c r="K47" s="115"/>
      <c r="L47" s="115"/>
      <c r="M47" s="115"/>
      <c r="N47" s="115"/>
      <c r="O47" s="115"/>
      <c r="P47" s="115"/>
      <c r="Q47" s="115"/>
      <c r="R47" s="89" t="s">
        <v>83</v>
      </c>
    </row>
    <row r="48" spans="1:19" ht="15" thickBot="1" x14ac:dyDescent="0.35">
      <c r="A48" s="89" t="s">
        <v>88</v>
      </c>
      <c r="B48" s="94" t="s">
        <v>80</v>
      </c>
      <c r="C48" s="95" t="s">
        <v>14</v>
      </c>
      <c r="D48" s="95" t="s">
        <v>15</v>
      </c>
      <c r="E48" s="95" t="s">
        <v>46</v>
      </c>
      <c r="F48" s="96">
        <v>0.96</v>
      </c>
      <c r="G48" s="96">
        <v>2.33</v>
      </c>
      <c r="H48" s="96">
        <v>1.5</v>
      </c>
      <c r="I48" s="97">
        <v>0.98</v>
      </c>
      <c r="J48" s="105"/>
      <c r="K48" s="105"/>
      <c r="L48" s="105"/>
      <c r="M48" s="105"/>
      <c r="N48" s="106"/>
      <c r="O48" s="106"/>
      <c r="P48" s="106"/>
      <c r="Q48" s="107"/>
      <c r="R48" s="89" t="s">
        <v>83</v>
      </c>
    </row>
    <row r="50" spans="1:20" ht="15" thickBot="1" x14ac:dyDescent="0.35"/>
    <row r="51" spans="1:20" x14ac:dyDescent="0.3">
      <c r="B51" s="5" t="s">
        <v>1</v>
      </c>
      <c r="C51" s="2" t="s">
        <v>2</v>
      </c>
      <c r="D51" s="2" t="s">
        <v>3</v>
      </c>
      <c r="E51" s="2" t="s">
        <v>4</v>
      </c>
      <c r="F51" s="10" t="s">
        <v>5</v>
      </c>
      <c r="G51" s="10" t="s">
        <v>6</v>
      </c>
      <c r="H51" s="10" t="s">
        <v>7</v>
      </c>
      <c r="I51" s="10" t="s">
        <v>8</v>
      </c>
    </row>
    <row r="52" spans="1:20" x14ac:dyDescent="0.3">
      <c r="A52" s="98" t="s">
        <v>89</v>
      </c>
      <c r="B52" s="99" t="s">
        <v>72</v>
      </c>
      <c r="C52" s="100" t="s">
        <v>14</v>
      </c>
      <c r="D52" s="100" t="s">
        <v>15</v>
      </c>
      <c r="E52" s="100" t="s">
        <v>73</v>
      </c>
      <c r="F52" s="101">
        <v>3.988</v>
      </c>
      <c r="G52" s="101">
        <v>1.2070000000000001</v>
      </c>
      <c r="H52" s="101">
        <v>1.867</v>
      </c>
      <c r="I52" s="102">
        <v>2.8540000000000001</v>
      </c>
      <c r="J52" s="103"/>
      <c r="K52" s="103"/>
      <c r="L52" s="103"/>
      <c r="M52" s="103"/>
      <c r="N52" s="103"/>
      <c r="O52" s="103"/>
      <c r="P52" s="103"/>
      <c r="Q52" s="103"/>
      <c r="R52" s="98" t="s">
        <v>90</v>
      </c>
      <c r="S52" s="104">
        <f>I52+I53+I54</f>
        <v>8.4179999999999993</v>
      </c>
      <c r="T52" s="4" t="s">
        <v>91</v>
      </c>
    </row>
    <row r="53" spans="1:20" x14ac:dyDescent="0.3">
      <c r="A53" s="98" t="s">
        <v>89</v>
      </c>
      <c r="B53" s="99" t="s">
        <v>40</v>
      </c>
      <c r="C53" s="100" t="s">
        <v>14</v>
      </c>
      <c r="D53" s="100" t="s">
        <v>15</v>
      </c>
      <c r="E53" s="100" t="s">
        <v>41</v>
      </c>
      <c r="F53" s="101">
        <v>4.03</v>
      </c>
      <c r="G53" s="101">
        <v>1.46</v>
      </c>
      <c r="H53" s="101">
        <v>2.19</v>
      </c>
      <c r="I53" s="102">
        <v>2.782</v>
      </c>
      <c r="J53" s="103"/>
      <c r="K53" s="103"/>
      <c r="L53" s="103"/>
      <c r="M53" s="103"/>
      <c r="N53" s="103"/>
      <c r="O53" s="103"/>
      <c r="P53" s="103"/>
      <c r="Q53" s="103"/>
      <c r="R53" s="98" t="s">
        <v>90</v>
      </c>
      <c r="T53" s="4" t="s">
        <v>91</v>
      </c>
    </row>
    <row r="54" spans="1:20" x14ac:dyDescent="0.3">
      <c r="A54" s="98" t="s">
        <v>89</v>
      </c>
      <c r="B54" s="99" t="s">
        <v>71</v>
      </c>
      <c r="C54" s="100" t="s">
        <v>14</v>
      </c>
      <c r="D54" s="100" t="s">
        <v>15</v>
      </c>
      <c r="E54" s="100" t="s">
        <v>41</v>
      </c>
      <c r="F54" s="101">
        <v>4.03</v>
      </c>
      <c r="G54" s="101">
        <v>1.46</v>
      </c>
      <c r="H54" s="101">
        <v>2.19</v>
      </c>
      <c r="I54" s="102">
        <v>2.782</v>
      </c>
      <c r="J54" s="103"/>
      <c r="K54" s="103"/>
      <c r="L54" s="103"/>
      <c r="M54" s="103"/>
      <c r="N54" s="103"/>
      <c r="O54" s="103"/>
      <c r="P54" s="103"/>
      <c r="Q54" s="103"/>
      <c r="R54" s="98" t="s">
        <v>90</v>
      </c>
      <c r="T54" s="4" t="s">
        <v>91</v>
      </c>
    </row>
    <row r="55" spans="1:20" x14ac:dyDescent="0.3">
      <c r="T55" s="4" t="s">
        <v>91</v>
      </c>
    </row>
  </sheetData>
  <mergeCells count="24">
    <mergeCell ref="G35:G36"/>
    <mergeCell ref="H35:H36"/>
    <mergeCell ref="I35:I36"/>
    <mergeCell ref="B26:B27"/>
    <mergeCell ref="C26:C27"/>
    <mergeCell ref="D26:D27"/>
    <mergeCell ref="E26:E27"/>
    <mergeCell ref="F26:F27"/>
    <mergeCell ref="B35:B36"/>
    <mergeCell ref="C35:C36"/>
    <mergeCell ref="D35:D36"/>
    <mergeCell ref="E35:E36"/>
    <mergeCell ref="F35:F36"/>
    <mergeCell ref="G24:G25"/>
    <mergeCell ref="H24:H25"/>
    <mergeCell ref="I24:I25"/>
    <mergeCell ref="G26:G27"/>
    <mergeCell ref="H26:H27"/>
    <mergeCell ref="I26:I27"/>
    <mergeCell ref="B24:B25"/>
    <mergeCell ref="C24:C25"/>
    <mergeCell ref="D24:D25"/>
    <mergeCell ref="E24:E25"/>
    <mergeCell ref="F24:F25"/>
  </mergeCells>
  <pageMargins left="3.937007874015748E-2" right="3.937007874015748E-2" top="0.74803149606299213" bottom="0.74803149606299213" header="0.31496062992125984" footer="0.31496062992125984"/>
  <pageSetup paperSize="9" orientation="landscape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09EFC1-9254-4D03-B72C-51933D6F5C52}">
  <ds:schemaRefs>
    <ds:schemaRef ds:uri="http://schemas.microsoft.com/office/2006/metadata/properties"/>
    <ds:schemaRef ds:uri="http://schemas.microsoft.com/office/infopath/2007/PartnerControls"/>
    <ds:schemaRef ds:uri="6bc9f6ac-be8d-410a-a29b-97109cb7df40"/>
    <ds:schemaRef ds:uri="c924676a-a538-45dd-8faf-9ed843f5a413"/>
  </ds:schemaRefs>
</ds:datastoreItem>
</file>

<file path=customXml/itemProps2.xml><?xml version="1.0" encoding="utf-8"?>
<ds:datastoreItem xmlns:ds="http://schemas.openxmlformats.org/officeDocument/2006/customXml" ds:itemID="{2F0FD933-BBB0-47AC-92CF-5B9970DA74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22D938-1487-4424-9D09-BCBB06A17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c9f6ac-be8d-410a-a29b-97109cb7df40"/>
    <ds:schemaRef ds:uri="c924676a-a538-45dd-8faf-9ed843f5a4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Riaan Koekemoer</dc:creator>
  <cp:keywords/>
  <dc:description/>
  <cp:lastModifiedBy>Jason Ungerer</cp:lastModifiedBy>
  <cp:revision/>
  <cp:lastPrinted>2026-06-28T07:51:30Z</cp:lastPrinted>
  <dcterms:created xsi:type="dcterms:W3CDTF">2026-02-10T05:41:09Z</dcterms:created>
  <dcterms:modified xsi:type="dcterms:W3CDTF">2026-06-28T07:52:55Z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0x010100A20AF20491331B4BB6E1B6F4443C1655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